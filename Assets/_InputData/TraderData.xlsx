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cb142b0578ca1/Documents/GameDev Academy/GameLab/"/>
    </mc:Choice>
  </mc:AlternateContent>
  <xr:revisionPtr revIDLastSave="902" documentId="8_{DF628154-2FB6-4060-AD78-D81695C358FC}" xr6:coauthVersionLast="47" xr6:coauthVersionMax="47" xr10:uidLastSave="{CFD5E9E2-DDF6-4FEE-987D-B70E8758448A}"/>
  <bookViews>
    <workbookView xWindow="-110" yWindow="-110" windowWidth="38620" windowHeight="21100" activeTab="6" xr2:uid="{76DE79D6-E220-4110-9408-99994F03D893}"/>
  </bookViews>
  <sheets>
    <sheet name="Resources" sheetId="2" r:id="rId1"/>
    <sheet name="Player Stats" sheetId="5" r:id="rId2"/>
    <sheet name="Settlements" sheetId="1" r:id="rId3"/>
    <sheet name="SettlementShops" sheetId="8" r:id="rId4"/>
    <sheet name="Transport" sheetId="3" r:id="rId5"/>
    <sheet name="Transport Upgrades" sheetId="6" r:id="rId6"/>
    <sheet name="Terrains" sheetId="7" r:id="rId7"/>
    <sheet name="Biomes" sheetId="10" r:id="rId8"/>
    <sheet name="WeatherSystem" sheetId="11" r:id="rId9"/>
    <sheet name="GAME_PARAMETERS" sheetId="12" r:id="rId10"/>
    <sheet name="Situations" sheetId="14" r:id="rId11"/>
  </sheets>
  <definedNames>
    <definedName name="_xlnm._FilterDatabase" localSheetId="0" hidden="1">Resources!$A$2:$I$19</definedName>
    <definedName name="_xlnm._FilterDatabase" localSheetId="10" hidden="1">Situations!$A$1:$G$408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G15" i="1"/>
  <c r="K38" i="1"/>
  <c r="I44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25" i="1"/>
  <c r="I24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P3" i="1"/>
  <c r="Q3" i="1" s="1"/>
  <c r="N3" i="1"/>
  <c r="O3" i="1" s="1"/>
  <c r="R3" i="1"/>
  <c r="L3" i="1"/>
  <c r="M3" i="1" s="1"/>
  <c r="J23" i="1"/>
  <c r="K23" i="1" s="1"/>
  <c r="J3" i="1"/>
  <c r="K3" i="1" s="1"/>
  <c r="G3" i="1"/>
  <c r="G4" i="1"/>
  <c r="G5" i="1"/>
  <c r="G6" i="1"/>
  <c r="G7" i="1"/>
  <c r="G8" i="1"/>
  <c r="G9" i="1"/>
  <c r="G10" i="1"/>
  <c r="G11" i="1"/>
  <c r="G12" i="1"/>
  <c r="G13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</calcChain>
</file>

<file path=xl/sharedStrings.xml><?xml version="1.0" encoding="utf-8"?>
<sst xmlns="http://schemas.openxmlformats.org/spreadsheetml/2006/main" count="2757" uniqueCount="1093">
  <si>
    <t>Base Stats</t>
  </si>
  <si>
    <t>Resource</t>
  </si>
  <si>
    <t>Weight</t>
  </si>
  <si>
    <t>Size</t>
  </si>
  <si>
    <t>Base Price</t>
  </si>
  <si>
    <t>Type</t>
  </si>
  <si>
    <t>SPEED_MULTIPLIER</t>
  </si>
  <si>
    <t>STAT_RESTORE</t>
  </si>
  <si>
    <t>HP_RESTORE</t>
  </si>
  <si>
    <t>Water</t>
  </si>
  <si>
    <t>Drink</t>
  </si>
  <si>
    <t>Wheat</t>
  </si>
  <si>
    <t>Trade</t>
  </si>
  <si>
    <t>Cheese</t>
  </si>
  <si>
    <t>Food</t>
  </si>
  <si>
    <t>Vegetables</t>
  </si>
  <si>
    <t>Wool</t>
  </si>
  <si>
    <t>Fire Wood</t>
  </si>
  <si>
    <t>Charcoal</t>
  </si>
  <si>
    <t>Meat</t>
  </si>
  <si>
    <t>Leather</t>
  </si>
  <si>
    <t>Wood</t>
  </si>
  <si>
    <t>Stone</t>
  </si>
  <si>
    <t>Iron Ore</t>
  </si>
  <si>
    <t>Salt</t>
  </si>
  <si>
    <t>Tools</t>
  </si>
  <si>
    <t>Bread</t>
  </si>
  <si>
    <t>Clothes</t>
  </si>
  <si>
    <t>Barrel</t>
  </si>
  <si>
    <t>Visible</t>
  </si>
  <si>
    <t>Hidden</t>
  </si>
  <si>
    <t>BASE_STAMINA</t>
  </si>
  <si>
    <t>BASE_HUNGER</t>
  </si>
  <si>
    <t>BASE_THIRST</t>
  </si>
  <si>
    <t>BASE_HP</t>
  </si>
  <si>
    <t>BASE_SPEED</t>
  </si>
  <si>
    <t>STAMINA_DRAIN_MULTIPLIER</t>
  </si>
  <si>
    <t>BASE_STAMINA_DROP_PER_H</t>
  </si>
  <si>
    <t>HUNGER_PENALTY</t>
  </si>
  <si>
    <t>THIRST_PENALTY</t>
  </si>
  <si>
    <t>EXHAUSTED_SPEED</t>
  </si>
  <si>
    <t>STAMINA_RESTORE_PER_REST_H</t>
  </si>
  <si>
    <t>FEED_THRESHOLD</t>
  </si>
  <si>
    <t>THIRST_THRESHOLD</t>
  </si>
  <si>
    <t>WEIGHT_SPEED_MODIFIER</t>
  </si>
  <si>
    <t>&lt;50%</t>
  </si>
  <si>
    <t>&gt;75%</t>
  </si>
  <si>
    <t>Settlement</t>
  </si>
  <si>
    <t>License Cost</t>
  </si>
  <si>
    <t>Daily</t>
  </si>
  <si>
    <t>STARTING_STOCK</t>
  </si>
  <si>
    <t>MAX_STOCK</t>
  </si>
  <si>
    <t>MIN_STOCK</t>
  </si>
  <si>
    <t>Stock Price Tier 1(160%)</t>
  </si>
  <si>
    <t>Stock Price Tier 2(120%)</t>
  </si>
  <si>
    <t>Stock Price Tier 3(100%)</t>
  </si>
  <si>
    <t>Stock Price Tier 4(80%)</t>
  </si>
  <si>
    <t>Stock Price Tier 5(60%)</t>
  </si>
  <si>
    <t>&gt;= From</t>
  </si>
  <si>
    <t>&lt; To (3 days Stock)</t>
  </si>
  <si>
    <t>&lt; To (5 days Stock)</t>
  </si>
  <si>
    <t>&lt;To (7 days Stock)</t>
  </si>
  <si>
    <t>&lt; To(14 days Stock)</t>
  </si>
  <si>
    <t>&lt;= To(30 days - Max Stock)</t>
  </si>
  <si>
    <t>PRODUCE</t>
  </si>
  <si>
    <t>Farming Village</t>
  </si>
  <si>
    <t>Default</t>
  </si>
  <si>
    <t>Forest Village</t>
  </si>
  <si>
    <t>Mountain Village</t>
  </si>
  <si>
    <t>Capital Town</t>
  </si>
  <si>
    <t>Tier</t>
  </si>
  <si>
    <t>Days From</t>
  </si>
  <si>
    <t>Days To</t>
  </si>
  <si>
    <t>Price</t>
  </si>
  <si>
    <t>T1</t>
  </si>
  <si>
    <t>T2</t>
  </si>
  <si>
    <t>NEED</t>
  </si>
  <si>
    <t>T3</t>
  </si>
  <si>
    <t>T4</t>
  </si>
  <si>
    <t>T5</t>
  </si>
  <si>
    <t>Backpack</t>
  </si>
  <si>
    <t>Worn Backpack</t>
  </si>
  <si>
    <t>START</t>
  </si>
  <si>
    <t>Sturdy Backpack</t>
  </si>
  <si>
    <t>x</t>
  </si>
  <si>
    <t>Reinforced Backpack</t>
  </si>
  <si>
    <t>Merchant Backpack</t>
  </si>
  <si>
    <t>Masterwork Backpack</t>
  </si>
  <si>
    <t>Hand Cart</t>
  </si>
  <si>
    <t>Basic Hand Cart</t>
  </si>
  <si>
    <t>BUY</t>
  </si>
  <si>
    <t>Sturdy Hand Cart</t>
  </si>
  <si>
    <t>Reinforced Hand Cart</t>
  </si>
  <si>
    <t>Merchant Hand Cart</t>
  </si>
  <si>
    <t>Masterwork Hand Cart</t>
  </si>
  <si>
    <t>Ox Cart</t>
  </si>
  <si>
    <t>Basic Ox Cart</t>
  </si>
  <si>
    <t>Sturdy Ox Cart</t>
  </si>
  <si>
    <t>Reinforced Ox Cart</t>
  </si>
  <si>
    <t>Heavy-Duty Ox Cart</t>
  </si>
  <si>
    <t>Masterwork Ox Cart</t>
  </si>
  <si>
    <t>Horse Cart</t>
  </si>
  <si>
    <t>Basic Horse Cart</t>
  </si>
  <si>
    <t>Sturdy Horse Cart</t>
  </si>
  <si>
    <t>Reinforced Horse Cart</t>
  </si>
  <si>
    <t>Merchant Horse Cart</t>
  </si>
  <si>
    <t>Masterwork Horse Cart</t>
  </si>
  <si>
    <t>TRANSPORT_SPEED_MODIFIER</t>
  </si>
  <si>
    <t>Cargo Space</t>
  </si>
  <si>
    <t>WEIGHT_SPEED_FLAG</t>
  </si>
  <si>
    <t>Min</t>
  </si>
  <si>
    <t>Max</t>
  </si>
  <si>
    <t>Yes</t>
  </si>
  <si>
    <t>No</t>
  </si>
  <si>
    <t>Transport</t>
  </si>
  <si>
    <t>Level</t>
  </si>
  <si>
    <t>Upgrade Name</t>
  </si>
  <si>
    <t>Cost</t>
  </si>
  <si>
    <t>-</t>
  </si>
  <si>
    <t>SPEED_MODIFIER</t>
  </si>
  <si>
    <t>Back Pack</t>
  </si>
  <si>
    <t>ROAD</t>
  </si>
  <si>
    <t>GRASS</t>
  </si>
  <si>
    <t>SNOW</t>
  </si>
  <si>
    <t>SAND</t>
  </si>
  <si>
    <t>Terrain</t>
  </si>
  <si>
    <t>Weather</t>
  </si>
  <si>
    <t>THIRST_DRAIN_PER_H</t>
  </si>
  <si>
    <t>HUNGER_DRAIN_PER_H</t>
  </si>
  <si>
    <t>Clear</t>
  </si>
  <si>
    <t>Raining</t>
  </si>
  <si>
    <t>Stormy</t>
  </si>
  <si>
    <t>Snowing</t>
  </si>
  <si>
    <t>Windy</t>
  </si>
  <si>
    <t>Spring</t>
  </si>
  <si>
    <t>Summer</t>
  </si>
  <si>
    <t>Autumn</t>
  </si>
  <si>
    <t>Winter</t>
  </si>
  <si>
    <t xml:space="preserve">WEATHER_CHECK_INTERVAL </t>
  </si>
  <si>
    <t>WEATHER_DURATION</t>
  </si>
  <si>
    <t>12(h)</t>
  </si>
  <si>
    <t>48(h)</t>
  </si>
  <si>
    <t>HOUR_DURATION</t>
  </si>
  <si>
    <t>20s</t>
  </si>
  <si>
    <t>STARTING_LOCATION</t>
  </si>
  <si>
    <t>STARTING_COINS</t>
  </si>
  <si>
    <t>START_DATE</t>
  </si>
  <si>
    <t>1250-Mar-15 20:00</t>
  </si>
  <si>
    <t>SETTLEMENT_REST_COINS</t>
  </si>
  <si>
    <t>UNWANTED_GOOD_PRICE_MULTIPLIER</t>
  </si>
  <si>
    <t>Situation Number</t>
  </si>
  <si>
    <t>Phase</t>
  </si>
  <si>
    <t>Situation Name</t>
  </si>
  <si>
    <t>Situation Description</t>
  </si>
  <si>
    <t>Required Context</t>
  </si>
  <si>
    <t>Given Context</t>
  </si>
  <si>
    <t>Removed Context</t>
  </si>
  <si>
    <t>Night Movement</t>
  </si>
  <si>
    <t>You wake during the night after hearing movement just beyond the light of your campfire.</t>
  </si>
  <si>
    <t>CAMP, MOVEMENT_HEARD, NIGHT, UNKNOWN_SOURCE</t>
  </si>
  <si>
    <t>Distant Cry</t>
  </si>
  <si>
    <t>A distant cry wakes you from your rest. It sounds human, but the darkness makes it difficult to tell where it came from.</t>
  </si>
  <si>
    <t>CAMP, DISTRESS_POSSIBLE, NIGHT, UNKNOWN_SOURCE, VOICE_HEARD</t>
  </si>
  <si>
    <t>Cargo Noise</t>
  </si>
  <si>
    <t>You wake to the sound of something shifting among your supplies beside the camp.</t>
  </si>
  <si>
    <t>CAMP, CARGO_DISTURBED, CARGO_PRESENT, NIGHT, UNKNOWN_SOURCE</t>
  </si>
  <si>
    <t>Dying Fire</t>
  </si>
  <si>
    <t>You wake and find the campfire almost extinguished, its last embers barely lighting the ground around you.</t>
  </si>
  <si>
    <t>CAMP, FIRE_LOW, NIGHT</t>
  </si>
  <si>
    <t>Approaching Footsteps</t>
  </si>
  <si>
    <t>Slow footsteps wake you as they approach the edge of your camp and then suddenly stop.</t>
  </si>
  <si>
    <t>CAMP, FOOTSTEPS_HEARD, HUMAN_POSSIBLE, NIGHT, UNKNOWN_SOURCE</t>
  </si>
  <si>
    <t>Strange Light</t>
  </si>
  <si>
    <t>A faint moving light between the trees catches your attention and pulls you from sleep.</t>
  </si>
  <si>
    <t>CAMP, LIGHT_SEEN, NIGHT, UNKNOWN_SOURCE</t>
  </si>
  <si>
    <t>Animal Cry</t>
  </si>
  <si>
    <t>A sharp animal cry breaks the silence of the night and wakes you immediately.</t>
  </si>
  <si>
    <t>ANIMAL_SOUND, CAMP, NIGHT, UNKNOWN_SOURCE</t>
  </si>
  <si>
    <t>Broken Branch</t>
  </si>
  <si>
    <t>A loud crack from somewhere nearby wakes you, followed by branches shifting in the darkness.</t>
  </si>
  <si>
    <t>CAMP, FOREST_NEARBY, MOVEMENT_HEARD, NIGHT, UNKNOWN_SOURCE</t>
  </si>
  <si>
    <t>Whispering Voices</t>
  </si>
  <si>
    <t>You wake to quiet voices whispering somewhere beyond the edge of the firelight.</t>
  </si>
  <si>
    <t>CAMP, HUMAN_POSSIBLE, NIGHT, UNKNOWN_SOURCE, WHISPERS_HEARD</t>
  </si>
  <si>
    <t>Storm Disturbance</t>
  </si>
  <si>
    <t>Heavy wind and rain wake you as something strikes or pulls at the edge of your camp.</t>
  </si>
  <si>
    <t>CAMP, CARGO_PRESENT, NIGHT, SHELTER_PRESENT, STORM_ACTIVE</t>
  </si>
  <si>
    <t>REACTION</t>
  </si>
  <si>
    <t>Get Up and Investigate</t>
  </si>
  <si>
    <t>You leave the warmth of the fire and search for the source of the disturbance.</t>
  </si>
  <si>
    <t>CAMP, UNKNOWN_SOURCE</t>
  </si>
  <si>
    <t>INVESTIGATING</t>
  </si>
  <si>
    <t>Wait and Listen</t>
  </si>
  <si>
    <t>You remain still and focus on every sound around the camp.</t>
  </si>
  <si>
    <t>LISTENING</t>
  </si>
  <si>
    <t>Grab a Torch</t>
  </si>
  <si>
    <t>You light a torch and sweep its light across the surrounding darkness.</t>
  </si>
  <si>
    <t>NIGHT, UNKNOWN_SOURCE</t>
  </si>
  <si>
    <t>OBSERVING, TORCH_LIT</t>
  </si>
  <si>
    <t>Inspect the Ground</t>
  </si>
  <si>
    <t>You check the ground around camp for tracks, disturbed soil, or dropped objects.</t>
  </si>
  <si>
    <t>TRACK_SEARCH</t>
  </si>
  <si>
    <t>Call Out into the Darkness</t>
  </si>
  <si>
    <t>You ask whether anyone is there and wait for an answer.</t>
  </si>
  <si>
    <t>UNKNOWN_SOURCE</t>
  </si>
  <si>
    <t>CALLED_OUT</t>
  </si>
  <si>
    <t>Circle Around the Camp</t>
  </si>
  <si>
    <t>You quietly approach the disturbance from another direction.</t>
  </si>
  <si>
    <t>FLANKING, INVESTIGATING</t>
  </si>
  <si>
    <t>Stay Beside the Fire</t>
  </si>
  <si>
    <t>You remain in the light and wait to see whether the disturbance comes closer.</t>
  </si>
  <si>
    <t>CAMP, NIGHT</t>
  </si>
  <si>
    <t>WAITING_AT_FIRE</t>
  </si>
  <si>
    <t>Prepare for Trouble</t>
  </si>
  <si>
    <t>You ready yourself for a possible threat before doing anything else.</t>
  </si>
  <si>
    <t>DEFENSIVE, LISTENING</t>
  </si>
  <si>
    <t>Follow the Movement</t>
  </si>
  <si>
    <t>You move cautiously toward where you last heard the movement.</t>
  </si>
  <si>
    <t>MOVEMENT_HEARD, UNKNOWN_SOURCE</t>
  </si>
  <si>
    <t>FOLLOWING_MOVEMENT, INVESTIGATING</t>
  </si>
  <si>
    <t>Search the Tree Line</t>
  </si>
  <si>
    <t>You inspect the trees and bushes for whatever caused the disturbance.</t>
  </si>
  <si>
    <t>FOREST_NEARBY, UNKNOWN_SOURCE</t>
  </si>
  <si>
    <t>INVESTIGATING, TREE_LINE_SEARCH</t>
  </si>
  <si>
    <t>Call Back to the Voice</t>
  </si>
  <si>
    <t>You call toward the voice and ask the person to answer clearly.</t>
  </si>
  <si>
    <t>UNKNOWN_SOURCE, VOICE_HEARD</t>
  </si>
  <si>
    <t>CALLED_OUT, VOICE_CONTACT_ATTEMPT</t>
  </si>
  <si>
    <t>Move Toward the Cry</t>
  </si>
  <si>
    <t>You leave the fire and carefully move toward where the cry came from.</t>
  </si>
  <si>
    <t>DISTRESS_POSSIBLE, VOICE_HEARD</t>
  </si>
  <si>
    <t>APPROACHING_VOICE, INVESTIGATING</t>
  </si>
  <si>
    <t>Wait for Another Cry</t>
  </si>
  <si>
    <t>You remain still and listen for the person to call again.</t>
  </si>
  <si>
    <t>VOICE_HEARD</t>
  </si>
  <si>
    <t>LISTENING_FOR_VOICE</t>
  </si>
  <si>
    <t>Offer Help from a Distance</t>
  </si>
  <si>
    <t>You call out that you can help, but ask the unseen person to approach slowly.</t>
  </si>
  <si>
    <t>CALLED_OUT, HELP_OFFERED</t>
  </si>
  <si>
    <t>Follow the Footsteps</t>
  </si>
  <si>
    <t>You move after the footsteps before they can disappear into the night.</t>
  </si>
  <si>
    <t>FOOTSTEPS_HEARD, UNKNOWN_SOURCE</t>
  </si>
  <si>
    <t>FOLLOWING_FOOTSTEPS, INVESTIGATING</t>
  </si>
  <si>
    <t>Wait for the Footsteps to Return</t>
  </si>
  <si>
    <t>You stay still and listen for the footsteps to move again.</t>
  </si>
  <si>
    <t>FOOTSTEPS_HEARD</t>
  </si>
  <si>
    <t>LISTENING_FOR_FOOTSTEPS</t>
  </si>
  <si>
    <t>Challenge Whoever Is Approaching</t>
  </si>
  <si>
    <t>You warn the unseen person that you are awake and prepared.</t>
  </si>
  <si>
    <t>CALLED_OUT, DEFENSIVE</t>
  </si>
  <si>
    <t>Listen to the Whispering</t>
  </si>
  <si>
    <t>You remain quiet and try to make out what the voices are saying.</t>
  </si>
  <si>
    <t>WHISPERS_HEARD</t>
  </si>
  <si>
    <t>EAVESDROPPING</t>
  </si>
  <si>
    <t>Reveal That You Are Awake</t>
  </si>
  <si>
    <t>You speak toward the whispering voices and tell them to show themselves.</t>
  </si>
  <si>
    <t>Follow the Strange Light</t>
  </si>
  <si>
    <t>You move cautiously toward the light while keeping your camp behind you.</t>
  </si>
  <si>
    <t>LIGHT_SEEN, UNKNOWN_SOURCE</t>
  </si>
  <si>
    <t>FOLLOWING_LIGHT, INVESTIGATING</t>
  </si>
  <si>
    <t>Signal with Your Torch</t>
  </si>
  <si>
    <t>You wave a torch toward the distant light to see whether someone responds.</t>
  </si>
  <si>
    <t>LIGHT_SEEN, NIGHT</t>
  </si>
  <si>
    <t>SIGNALLED_LIGHT, TORCH_LIT</t>
  </si>
  <si>
    <t>Watch the Light from Camp</t>
  </si>
  <si>
    <t>You stay beside the fire and observe the moving light without approaching.</t>
  </si>
  <si>
    <t>LIGHT_SEEN</t>
  </si>
  <si>
    <t>OBSERVING_LIGHT</t>
  </si>
  <si>
    <t>Inspect the Cargo</t>
  </si>
  <si>
    <t>You inspect the bags and crates to see what was moved.</t>
  </si>
  <si>
    <t>CARGO_DISTURBED, CARGO_PRESENT</t>
  </si>
  <si>
    <t>CARGO_CHECK</t>
  </si>
  <si>
    <t>Guard the Supplies</t>
  </si>
  <si>
    <t>You position yourself between the darkness and your cargo.</t>
  </si>
  <si>
    <t>CARGO_GUARDED, DEFENSIVE, OBSERVING_CARGO</t>
  </si>
  <si>
    <t>Pretend to Sleep</t>
  </si>
  <si>
    <t>You lie still and watch the cargo from the corner of your eye.</t>
  </si>
  <si>
    <t>OBSERVING_CARGO, PRETENDING_SLEEP</t>
  </si>
  <si>
    <t>Check for Missing Goods</t>
  </si>
  <si>
    <t>You quickly count your most valuable goods to see whether anything has disappeared.</t>
  </si>
  <si>
    <t>CARGO_INVENTORY_CHECK</t>
  </si>
  <si>
    <t>Use a Torch on the Cargo</t>
  </si>
  <si>
    <t>You light the bags and crates clearly to expose anything hiding among them.</t>
  </si>
  <si>
    <t>CARGO_PRESENT, NIGHT</t>
  </si>
  <si>
    <t>CARGO_CHECK, TORCH_LIT</t>
  </si>
  <si>
    <t>Secure the Cargo First</t>
  </si>
  <si>
    <t>You tighten the straps and close every exposed bag before searching for the cause.</t>
  </si>
  <si>
    <t>CARGO_CHECK, CARGO_SECURED_TEMP, DEFENSIVE</t>
  </si>
  <si>
    <t>Listen for the Animal</t>
  </si>
  <si>
    <t>You remain still and listen for another cry, growl, or movement.</t>
  </si>
  <si>
    <t>ANIMAL_SOUND</t>
  </si>
  <si>
    <t>ANIMAL_LISTENING</t>
  </si>
  <si>
    <t>Raise a Torch Toward the Animal Sound</t>
  </si>
  <si>
    <t>You lift a torch and search the darkness for eyes or movement.</t>
  </si>
  <si>
    <t>ANIMAL_SOUND, NIGHT</t>
  </si>
  <si>
    <t>ANIMAL_SEARCH, TORCH_LIT</t>
  </si>
  <si>
    <t>Make Noise to Scare It Away</t>
  </si>
  <si>
    <t>You shout and strike your equipment together to frighten the animal away.</t>
  </si>
  <si>
    <t>ANIMAL_SCARE_ATTEMPT</t>
  </si>
  <si>
    <t>Place Food Away from Camp</t>
  </si>
  <si>
    <t>You leave a small amount of food away from your supplies and step back.</t>
  </si>
  <si>
    <t>ANIMAL_SOUND, CAMP</t>
  </si>
  <si>
    <t>ANIMAL_BAIT_SET</t>
  </si>
  <si>
    <t>Protect the Fire</t>
  </si>
  <si>
    <t>You shield the weak embers from the wind and try to keep them alive.</t>
  </si>
  <si>
    <t>FIRE_LOW</t>
  </si>
  <si>
    <t>FIRE_PROTECTED</t>
  </si>
  <si>
    <t>Rebuild the Fire</t>
  </si>
  <si>
    <t>You gather fuel and try to restore the dying fire.</t>
  </si>
  <si>
    <t>FIRE_REBUILD_ATTEMPT</t>
  </si>
  <si>
    <t>Inspect the Storm Damage</t>
  </si>
  <si>
    <t>You step into the rain and inspect the campsite for damage.</t>
  </si>
  <si>
    <t>STORM_ACTIVE</t>
  </si>
  <si>
    <t>STORM_INSPECTION</t>
  </si>
  <si>
    <t>Secure the Shelter</t>
  </si>
  <si>
    <t>You tighten ropes and supports before the storm can tear the shelter apart.</t>
  </si>
  <si>
    <t>SHELTER_PRESENT, STORM_ACTIVE</t>
  </si>
  <si>
    <t>SHELTER_SECURE_ATTEMPT</t>
  </si>
  <si>
    <t>Protect the Cargo from Rain</t>
  </si>
  <si>
    <t>You check the covers and move exposed goods away from the rain.</t>
  </si>
  <si>
    <t>CARGO_PRESENT, STORM_ACTIVE</t>
  </si>
  <si>
    <t>CARGO_RAIN_PROTECTION</t>
  </si>
  <si>
    <t>REVEAL</t>
  </si>
  <si>
    <t>Fresh Human Footprints</t>
  </si>
  <si>
    <t>Fresh human footprints cross the edge of the camp and continue into the darkness.</t>
  </si>
  <si>
    <t>HUMAN_CONFIRMED, HUMAN_TRACKS</t>
  </si>
  <si>
    <t>Fresh Animal Tracks</t>
  </si>
  <si>
    <t>Fresh animal tracks pass close to the fire before leading away.</t>
  </si>
  <si>
    <t>ANIMAL_CONFIRMED, ANIMAL_TRACKS</t>
  </si>
  <si>
    <t>Fresh Blood Trail</t>
  </si>
  <si>
    <t>Drops of fresh blood form a trail leading away from the camp.</t>
  </si>
  <si>
    <t>BLOOD_TRAIL</t>
  </si>
  <si>
    <t>Broken Branches Form a Trail</t>
  </si>
  <si>
    <t>Freshly broken branches form a rough trail away from the campsite.</t>
  </si>
  <si>
    <t>TREE_LINE_SEARCH</t>
  </si>
  <si>
    <t>TRAIL_FOUND</t>
  </si>
  <si>
    <t>A Hidden Figure</t>
  </si>
  <si>
    <t>You briefly see a human-shaped figure moving between the trees.</t>
  </si>
  <si>
    <t>HIDDEN_PERSON, HUMAN_CONFIRMED</t>
  </si>
  <si>
    <t>Eyes Beyond the Firelight</t>
  </si>
  <si>
    <t>A pair of eyes reflects the firelight from somewhere beyond the camp.</t>
  </si>
  <si>
    <t>OBSERVING</t>
  </si>
  <si>
    <t>ANIMAL_CONFIRMED, ANIMAL_WATCHING</t>
  </si>
  <si>
    <t>Nothing Obvious Is Found</t>
  </si>
  <si>
    <t>Your search reveals no clear tracks, person, or animal nearby.</t>
  </si>
  <si>
    <t>NO_SOURCE_FOUND</t>
  </si>
  <si>
    <t>Something Moves Near the Cargo</t>
  </si>
  <si>
    <t>A dark shape moves beside the supplies before slipping out of view.</t>
  </si>
  <si>
    <t>CARGO_PRESENT, WAITING_AT_FIRE</t>
  </si>
  <si>
    <t>CARGO_INTRUSION_POSSIBLE</t>
  </si>
  <si>
    <t>The Movement Stops</t>
  </si>
  <si>
    <t>The movement stops completely as soon as you approach.</t>
  </si>
  <si>
    <t>FOLLOWING_MOVEMENT</t>
  </si>
  <si>
    <t>NO_SOURCE_FOUND, SOURCE_FLED_POSSIBLE</t>
  </si>
  <si>
    <t>Someone Runs Away</t>
  </si>
  <si>
    <t>You hear a person break into a run and disappear into the darkness.</t>
  </si>
  <si>
    <t>FLANKING</t>
  </si>
  <si>
    <t>HUMAN_CONFIRMED, PERSON_FLEEING</t>
  </si>
  <si>
    <t>Heavy Animal Breathing</t>
  </si>
  <si>
    <t>Slow, heavy breathing reveals that a large animal is very close.</t>
  </si>
  <si>
    <t>ANIMAL_CONFIRMED, LARGE_ANIMAL</t>
  </si>
  <si>
    <t>Quiet Human Footsteps</t>
  </si>
  <si>
    <t>The rhythm of the movement makes it clear that a person is walking around the camp.</t>
  </si>
  <si>
    <t>HUMAN_CONFIRMED, PERSON_NEARBY</t>
  </si>
  <si>
    <t>Two People Whispering</t>
  </si>
  <si>
    <t>You make out two people speaking quietly just outside the firelight.</t>
  </si>
  <si>
    <t>HUMAN_CONFIRMED, MULTIPLE_PEOPLE</t>
  </si>
  <si>
    <t>Cargo Being Moved</t>
  </si>
  <si>
    <t>You hear a bag scrape across the ground beside your supplies.</t>
  </si>
  <si>
    <t>CARGO_PRESENT, LISTENING</t>
  </si>
  <si>
    <t>The Night Falls Silent</t>
  </si>
  <si>
    <t>The disturbance disappears and nothing else moves or calls out.</t>
  </si>
  <si>
    <t>NO_SOURCE_FOUND, SILENCE</t>
  </si>
  <si>
    <t>A Frightened Traveller Answers</t>
  </si>
  <si>
    <t>A frightened traveller answers and asks whether it is safe to approach.</t>
  </si>
  <si>
    <t>FRIGHTENED_TRAVELLER, HUMAN_CONFIRMED, TRAVELLER_PRESENT</t>
  </si>
  <si>
    <t>A Warning from the Darkness</t>
  </si>
  <si>
    <t>A tense voice tells you not to come any closer.</t>
  </si>
  <si>
    <t>HOSTILE_WARNING, HUMAN_CONFIRMED</t>
  </si>
  <si>
    <t>No One Answers</t>
  </si>
  <si>
    <t>Your call receives no answer, although you still sense movement nearby.</t>
  </si>
  <si>
    <t>CALLED_OUT, UNKNOWN_SOURCE</t>
  </si>
  <si>
    <t>NO_ANSWER</t>
  </si>
  <si>
    <t>Someone Knows Your Name</t>
  </si>
  <si>
    <t>A stranger in the darkness calls you by name before you have introduced yourself.</t>
  </si>
  <si>
    <t>HUMAN_CONFIRMED, STRANGER_KNOWS_NAME</t>
  </si>
  <si>
    <t>An Animal Growls Back</t>
  </si>
  <si>
    <t>A low growl answers your voice from beyond the firelight.</t>
  </si>
  <si>
    <t>ANIMAL_SOUND, CALLED_OUT</t>
  </si>
  <si>
    <t>A Wounded Traveller Is Found</t>
  </si>
  <si>
    <t>You find a wounded traveller sitting against a tree and struggling to stay conscious.</t>
  </si>
  <si>
    <t>APPROACHING_VOICE</t>
  </si>
  <si>
    <t>HUMAN_CONFIRMED, TRAVELLER_PRESENT, WOUNDED_TRAVELLER</t>
  </si>
  <si>
    <t>A Lost Merchant Is Found</t>
  </si>
  <si>
    <t>A tired merchant steps into view and admits they became lost after nightfall.</t>
  </si>
  <si>
    <t>HUMAN_CONFIRMED, MERCHANT_PRESENT, TRAVELLER_PRESENT</t>
  </si>
  <si>
    <t>A Suspicious Stranger Waits Ahead</t>
  </si>
  <si>
    <t>A lone stranger stands off the road and gives no clear reason for being there.</t>
  </si>
  <si>
    <t>HUMAN_CONFIRMED, SUSPICIOUS_STRANGER</t>
  </si>
  <si>
    <t>The Cry Leads to Abandoned Belongings</t>
  </si>
  <si>
    <t>You find a pack and scattered belongings, but no person nearby.</t>
  </si>
  <si>
    <t>ABANDONED_BELONGINGS, MISSING_PERSON_POSSIBLE</t>
  </si>
  <si>
    <t>Another Weak Cry Comes from Nearby</t>
  </si>
  <si>
    <t>The person calls again, much closer and noticeably weaker.</t>
  </si>
  <si>
    <t>DISTRESS_CONFIRMED, VOICE_LOCATED</t>
  </si>
  <si>
    <t>A Traveller Steps into View</t>
  </si>
  <si>
    <t>A lone traveller slowly steps into the firelight with empty hands.</t>
  </si>
  <si>
    <t>HUMAN_CONFIRMED, TRAVELLER_PRESENT</t>
  </si>
  <si>
    <t>An Armed Stranger Is Waiting</t>
  </si>
  <si>
    <t>The footsteps belong to an armed stranger standing just outside the light.</t>
  </si>
  <si>
    <t>FOLLOWING_FOOTSTEPS</t>
  </si>
  <si>
    <t>ARMED_STRANGER, HUMAN_CONFIRMED</t>
  </si>
  <si>
    <t>The Footsteps Lead to a Thief</t>
  </si>
  <si>
    <t>You catch a person moving quietly near the edge of your camp, clearly trying not to be seen.</t>
  </si>
  <si>
    <t>HUMAN_CONFIRMED, THEFT_THREAT, THIEF_PRESENT</t>
  </si>
  <si>
    <t>The Whisperers Are Watching Your Camp</t>
  </si>
  <si>
    <t>You realize the strangers are discussing your campsite and deciding whether to approach.</t>
  </si>
  <si>
    <t>HUMAN_CONFIRMED, MULTIPLE_PEOPLE, SUSPICIOUS_GROUP</t>
  </si>
  <si>
    <t>The Whisperers Are Lost Travellers</t>
  </si>
  <si>
    <t>The voices belong to travellers arguing quietly about which road to take.</t>
  </si>
  <si>
    <t>HUMAN_CONFIRMED, LOST_TRAVELLERS, TRAVELLERS_PRESENT, TRAVELLER_PRESENT</t>
  </si>
  <si>
    <t>A Recently Extinguished Lantern</t>
  </si>
  <si>
    <t>You find a lantern that appears to have been extinguished only moments ago.</t>
  </si>
  <si>
    <t>FOLLOWING_LIGHT</t>
  </si>
  <si>
    <t>HUMAN_POSSIBLE, LANTERN_FOUND</t>
  </si>
  <si>
    <t>The Light Belongs to a Traveller</t>
  </si>
  <si>
    <t>The moving light is carried by a traveller searching for the road.</t>
  </si>
  <si>
    <t>HUMAN_CONFIRMED, LOST_TRAVELLER, TRAVELLER_PRESENT</t>
  </si>
  <si>
    <t>The Light Disappears</t>
  </si>
  <si>
    <t>The strange light vanishes the moment you get close enough to investigate.</t>
  </si>
  <si>
    <t>LIGHT_VANISHED, NO_SOURCE_FOUND</t>
  </si>
  <si>
    <t>A Signal Is Returned</t>
  </si>
  <si>
    <t>A distant light answers your torch signal with two deliberate flashes.</t>
  </si>
  <si>
    <t>SIGNALLED_LIGHT</t>
  </si>
  <si>
    <t>HUMAN_POSSIBLE, LIGHT_SIGNAL_RETURNED</t>
  </si>
  <si>
    <t>The Light Never Moves Again</t>
  </si>
  <si>
    <t>After several minutes of watching, the light remains fixed and then fades.</t>
  </si>
  <si>
    <t>A Thief Is Searching the Bags</t>
  </si>
  <si>
    <t>You catch a stranger quietly opening one of your bags.</t>
  </si>
  <si>
    <t>HUMAN_CONFIRMED, THEFT_CONFIRMED, THIEF_PRESENT</t>
  </si>
  <si>
    <t>A Thief Runs with Stolen Goods</t>
  </si>
  <si>
    <t>A figure runs from the camp carrying something taken from your supplies.</t>
  </si>
  <si>
    <t>CARGO_MISSING, HUMAN_CONFIRMED, PERSON_FLEEING, THIEF_PRESENT</t>
  </si>
  <si>
    <t>An Animal Is Inside the Cargo</t>
  </si>
  <si>
    <t>An animal is rummaging between the bags in search of food.</t>
  </si>
  <si>
    <t>ANIMAL_CONFIRMED, ANIMAL_IN_CARGO</t>
  </si>
  <si>
    <t>A Cargo Bag Has Been Cut</t>
  </si>
  <si>
    <t>One of your bags has been cut open cleanly along the side.</t>
  </si>
  <si>
    <t>CARGO_DAMAGED, THEFT_POSSIBLE</t>
  </si>
  <si>
    <t>Some Goods Are Missing</t>
  </si>
  <si>
    <t>Your count confirms that part of your cargo is gone.</t>
  </si>
  <si>
    <t>CARGO_MISSING</t>
  </si>
  <si>
    <t>A Loose Strap Caused the Noise</t>
  </si>
  <si>
    <t>A cargo strap has come loose and several items have shifted.</t>
  </si>
  <si>
    <t>CARGO_LOOSE, NO_THREAT_FOUND</t>
  </si>
  <si>
    <t>A Stranger Is Watching the Cargo</t>
  </si>
  <si>
    <t>A person stands beyond the light and appears focused on your supplies.</t>
  </si>
  <si>
    <t>OBSERVING_CARGO</t>
  </si>
  <si>
    <t>HUMAN_CONFIRMED, SUSPICIOUS_STRANGER, THEFT_THREAT</t>
  </si>
  <si>
    <t>The Intruder Approaches While You Pretend to Sleep</t>
  </si>
  <si>
    <t>A person quietly approaches the cargo, believing you are still asleep.</t>
  </si>
  <si>
    <t>PRETENDING_SLEEP</t>
  </si>
  <si>
    <t>A Fox Approaches the Food</t>
  </si>
  <si>
    <t>A fox cautiously approaches the food and keeps glancing toward the camp.</t>
  </si>
  <si>
    <t>ANIMAL_CONFIRMED, SMALL_ANIMAL</t>
  </si>
  <si>
    <t>A Wolf Watches from the Darkness</t>
  </si>
  <si>
    <t>A wolf stands just beyond the firelight and watches without approaching.</t>
  </si>
  <si>
    <t>ANIMAL_SEARCH</t>
  </si>
  <si>
    <t>ANIMAL_CONFIRMED, LARGE_ANIMAL, WOLF_PRESENT</t>
  </si>
  <si>
    <t>Several Wolves Circle the Camp</t>
  </si>
  <si>
    <t>More than one pair of eyes moves around the camp outside the firelight.</t>
  </si>
  <si>
    <t>ANIMAL_CONFIRMED, LARGE_ANIMAL, WOLF_PACK</t>
  </si>
  <si>
    <t>An Injured Animal Is Nearby</t>
  </si>
  <si>
    <t>You find an injured animal struggling to move near the edge of camp.</t>
  </si>
  <si>
    <t>ANIMAL_CONFIRMED, INJURED_ANIMAL</t>
  </si>
  <si>
    <t>The Animal Retreats from Your Noise</t>
  </si>
  <si>
    <t>The animal moves farther away after hearing your attempt to scare it.</t>
  </si>
  <si>
    <t>ANIMAL_CONFIRMED, ANIMAL_RETREATING</t>
  </si>
  <si>
    <t>The Embers Can Still Be Saved</t>
  </si>
  <si>
    <t>Beneath the ash, enough heat remains to rebuild the fire.</t>
  </si>
  <si>
    <t>EMBERS_USABLE</t>
  </si>
  <si>
    <t>The Firewood Is Too Wet</t>
  </si>
  <si>
    <t>Most of the exposed firewood is soaked and difficult to use.</t>
  </si>
  <si>
    <t>FIREWOOD_WET</t>
  </si>
  <si>
    <t>A Shelter Rope Has Snapped</t>
  </si>
  <si>
    <t>One of the shelter ropes has broken and part of the cover is collapsing.</t>
  </si>
  <si>
    <t>SHELTER_DAMAGED</t>
  </si>
  <si>
    <t>Water Is Reaching the Cargo</t>
  </si>
  <si>
    <t>Rainwater is beginning to soak through the protection around your supplies.</t>
  </si>
  <si>
    <t>CARGO_PRESENT, STORM_INSPECTION</t>
  </si>
  <si>
    <t>CARGO_WET_RISK</t>
  </si>
  <si>
    <t>The Ground Is Beginning to Flood</t>
  </si>
  <si>
    <t>Water collects around the campsite faster than it can drain away.</t>
  </si>
  <si>
    <t>FLOODING_RISK</t>
  </si>
  <si>
    <t>The Shelter Holds for Now</t>
  </si>
  <si>
    <t>The reinforced shelter bends in the wind but remains stable.</t>
  </si>
  <si>
    <t>SHELTER_STABLE</t>
  </si>
  <si>
    <t>The Cargo Cover Is Tearing</t>
  </si>
  <si>
    <t>A section of the cargo cover tears and exposes goods to the rain.</t>
  </si>
  <si>
    <t>CARGO_COVER_TORN, CARGO_WET_RISK</t>
  </si>
  <si>
    <t>RESPONSE</t>
  </si>
  <si>
    <t>Help the Wounded Traveller</t>
  </si>
  <si>
    <t>You approach the wounded traveller and help with their immediate injuries.</t>
  </si>
  <si>
    <t>WOUNDED_TRAVELLER</t>
  </si>
  <si>
    <t>TRAVELLER_HELPED</t>
  </si>
  <si>
    <t>Question the Wounded Traveller</t>
  </si>
  <si>
    <t>You ask what happened before deciding how far you are willing to help.</t>
  </si>
  <si>
    <t>TRAVELLER_QUESTIONED</t>
  </si>
  <si>
    <t>Invite the Traveller to the Fire</t>
  </si>
  <si>
    <t>You allow the traveller to approach and warm themselves beside the fire.</t>
  </si>
  <si>
    <t>TRAVELLER_PRESENT</t>
  </si>
  <si>
    <t>TRAVELLER_INVITED</t>
  </si>
  <si>
    <t>Question the Traveller</t>
  </si>
  <si>
    <t>You ask who they are, where they came from, and why they are travelling at night.</t>
  </si>
  <si>
    <t>Send the Traveller Away</t>
  </si>
  <si>
    <t>You decide not to risk sharing the camp and tell the traveller to continue on.</t>
  </si>
  <si>
    <t>TRAVELLER_SENT_AWAY</t>
  </si>
  <si>
    <t>Help the Lost Merchant Find the Road</t>
  </si>
  <si>
    <t>You give the merchant directions toward the safest route you know.</t>
  </si>
  <si>
    <t>MERCHANT_PRESENT</t>
  </si>
  <si>
    <t>MERCHANT_DIRECTED</t>
  </si>
  <si>
    <t>Question the Suspicious Stranger</t>
  </si>
  <si>
    <t>You keep your distance and demand a clear explanation for their presence.</t>
  </si>
  <si>
    <t>SUSPICIOUS_STRANGER</t>
  </si>
  <si>
    <t>STRANGER_QUESTIONED</t>
  </si>
  <si>
    <t>Warn the Suspicious Stranger Away</t>
  </si>
  <si>
    <t>You make it clear that the stranger is not welcome near your camp.</t>
  </si>
  <si>
    <t>STRANGER_WARNED</t>
  </si>
  <si>
    <t>Confront the Armed Stranger</t>
  </si>
  <si>
    <t>You take a defensive position and demand that the armed stranger stop approaching.</t>
  </si>
  <si>
    <t>ARMED_STRANGER</t>
  </si>
  <si>
    <t>ARMED_CONFRONTATION</t>
  </si>
  <si>
    <t>Stay Hidden and Observe the Strangers</t>
  </si>
  <si>
    <t>You remain concealed and watch the people outside your camp for a little longer.</t>
  </si>
  <si>
    <t>MULTIPLE_PEOPLE</t>
  </si>
  <si>
    <t>STRANGERS_OBSERVED</t>
  </si>
  <si>
    <t>Approach the Person Calling for Help</t>
  </si>
  <si>
    <t>You move toward the weak voice while watching carefully for danger.</t>
  </si>
  <si>
    <t>DISTRESS_APPROACHED</t>
  </si>
  <si>
    <t>Search the Abandoned Belongings</t>
  </si>
  <si>
    <t>You inspect the abandoned belongings for clues about the missing owner.</t>
  </si>
  <si>
    <t>ABANDONED_BELONGINGS</t>
  </si>
  <si>
    <t>BELONGINGS_SEARCHED</t>
  </si>
  <si>
    <t>Follow the Human Footprints</t>
  </si>
  <si>
    <t>You follow the human tracks far enough to learn where they lead.</t>
  </si>
  <si>
    <t>HUMAN_TRACKS</t>
  </si>
  <si>
    <t>HUMAN_TRACKS_FOLLOWED</t>
  </si>
  <si>
    <t>Follow the Blood Trail</t>
  </si>
  <si>
    <t>You follow the blood trail carefully, unsure what you will find.</t>
  </si>
  <si>
    <t>BLOOD_TRAIL_FOLLOWED</t>
  </si>
  <si>
    <t>Challenge the Hidden Person</t>
  </si>
  <si>
    <t>You reveal yourself and demand that the hidden person identify themselves.</t>
  </si>
  <si>
    <t>HIDDEN_PERSON</t>
  </si>
  <si>
    <t>HIDDEN_PERSON_CONFRONTED</t>
  </si>
  <si>
    <t>Answer the Stranger Who Knows Your Name</t>
  </si>
  <si>
    <t>You ask how the stranger knows who you are.</t>
  </si>
  <si>
    <t>STRANGER_KNOWS_NAME</t>
  </si>
  <si>
    <t>NAME_MYSTERY_CHALLENGED</t>
  </si>
  <si>
    <t>Call Again After No Answer</t>
  </si>
  <si>
    <t>You call out once more and demand that whoever is nearby reveal themselves.</t>
  </si>
  <si>
    <t>SECOND_CALL</t>
  </si>
  <si>
    <t>Follow the Returned Light Signal</t>
  </si>
  <si>
    <t>You move toward the direction from which the signal was returned.</t>
  </si>
  <si>
    <t>LIGHT_SIGNAL_RETURNED</t>
  </si>
  <si>
    <t>LIGHT_SIGNAL_FOLLOWED</t>
  </si>
  <si>
    <t>Search Beyond the Extinguished Lantern</t>
  </si>
  <si>
    <t>You search the area beyond the lantern for whoever carried it.</t>
  </si>
  <si>
    <t>LANTERN_FOUND</t>
  </si>
  <si>
    <t>LANTERN_TRAIL_SEARCHED</t>
  </si>
  <si>
    <t>Follow Where the Light Vanished</t>
  </si>
  <si>
    <t>You continue toward the place where the strange light disappeared.</t>
  </si>
  <si>
    <t>LIGHT_VANISHED</t>
  </si>
  <si>
    <t>VANISHED_LIGHT_FOLLOWED</t>
  </si>
  <si>
    <t>Block the Thief's Escape</t>
  </si>
  <si>
    <t>You move between the thief and the easiest route away from camp.</t>
  </si>
  <si>
    <t>THIEF_PRESENT</t>
  </si>
  <si>
    <t>THIEF_BLOCKED</t>
  </si>
  <si>
    <t>Chase the Thief</t>
  </si>
  <si>
    <t>You pursue the thief before they can disappear with your goods.</t>
  </si>
  <si>
    <t>PERSON_FLEEING, THIEF_PRESENT</t>
  </si>
  <si>
    <t>THIEF_CHASED</t>
  </si>
  <si>
    <t>Demand the Goods Back</t>
  </si>
  <si>
    <t>You confront the thief and demand the return of anything taken.</t>
  </si>
  <si>
    <t>THIEF_CONFRONTED</t>
  </si>
  <si>
    <t>Let the Thief Flee</t>
  </si>
  <si>
    <t>You decide that your safety is worth more than the stolen goods.</t>
  </si>
  <si>
    <t>THIEF_ALLOWED_ESCAPE</t>
  </si>
  <si>
    <t>Search for the Missing Goods</t>
  </si>
  <si>
    <t>You search around the camp for anything dropped or hidden.</t>
  </si>
  <si>
    <t>MISSING_GOODS_SEARCHED</t>
  </si>
  <si>
    <t>Repair the Cut Cargo Bag</t>
  </si>
  <si>
    <t>You secure the damaged bag before more goods can spill out.</t>
  </si>
  <si>
    <t>CARGO_DAMAGED</t>
  </si>
  <si>
    <t>CARGO_REPAIRED</t>
  </si>
  <si>
    <t>Secure the Loose Cargo</t>
  </si>
  <si>
    <t>You tighten every strap and return shifted goods to safe positions.</t>
  </si>
  <si>
    <t>CARGO_LOOSE</t>
  </si>
  <si>
    <t>CARGO_FULLY_SECURED</t>
  </si>
  <si>
    <t>Watch for the Cargo Intruder</t>
  </si>
  <si>
    <t>You stay near the supplies and wait for the intruder to make another move.</t>
  </si>
  <si>
    <t>CARGO_AMBUSH_WAIT</t>
  </si>
  <si>
    <t>Confront the Cargo Watcher</t>
  </si>
  <si>
    <t>You call out the stranger who has been staring at your supplies.</t>
  </si>
  <si>
    <t>SUSPICIOUS_STRANGER, THEFT_THREAT</t>
  </si>
  <si>
    <t>CARGO_WATCHER_CONFRONTED</t>
  </si>
  <si>
    <t>Drive the Animal Away</t>
  </si>
  <si>
    <t>You advance while making noise to force the animal away from camp.</t>
  </si>
  <si>
    <t>ANIMAL_CONFIRMED</t>
  </si>
  <si>
    <t>ANIMAL_SCARED</t>
  </si>
  <si>
    <t>Stay Still and Observe the Animal</t>
  </si>
  <si>
    <t>You avoid sudden movement and watch the animal's behavior.</t>
  </si>
  <si>
    <t>ANIMAL_OBSERVED</t>
  </si>
  <si>
    <t>Offer Food Away from Camp</t>
  </si>
  <si>
    <t>You place food away from the cargo to draw the animal away.</t>
  </si>
  <si>
    <t>ANIMAL_FED</t>
  </si>
  <si>
    <t>Retreat from the Animal</t>
  </si>
  <si>
    <t>You slowly give the animal space and move back toward safer ground.</t>
  </si>
  <si>
    <t>ANIMAL_AVOIDED</t>
  </si>
  <si>
    <t>Protect the Cargo from the Animal</t>
  </si>
  <si>
    <t>You position yourself between the animal and your supplies.</t>
  </si>
  <si>
    <t>ANIMAL_CONFIRMED, CARGO_PRESENT</t>
  </si>
  <si>
    <t>ANIMAL_CARGO_DEFENDED</t>
  </si>
  <si>
    <t>Follow the Animal Tracks</t>
  </si>
  <si>
    <t>You follow the trail a short distance to learn where the animal went.</t>
  </si>
  <si>
    <t>ANIMAL_TRACKS</t>
  </si>
  <si>
    <t>ANIMAL_TRACKS_FOLLOWED</t>
  </si>
  <si>
    <t>Approach the Injured Animal</t>
  </si>
  <si>
    <t>You move closer carefully to see whether the animal can be helped.</t>
  </si>
  <si>
    <t>INJURED_ANIMAL</t>
  </si>
  <si>
    <t>INJURED_ANIMAL_APPROACHED</t>
  </si>
  <si>
    <t>Leave the Injured Animal Alone</t>
  </si>
  <si>
    <t>You decide not to risk approaching and return toward camp.</t>
  </si>
  <si>
    <t>INJURED_ANIMAL_LEFT</t>
  </si>
  <si>
    <t>Use the Fire to Keep the Animal Back</t>
  </si>
  <si>
    <t>You strengthen the fire and use the flames to discourage the animal from approaching.</t>
  </si>
  <si>
    <t>CAMP, LARGE_ANIMAL</t>
  </si>
  <si>
    <t>ANIMAL_HELD_BY_FIRE</t>
  </si>
  <si>
    <t>Chase the Animal from the Cargo</t>
  </si>
  <si>
    <t>You rush toward the bags and force the animal away from the supplies.</t>
  </si>
  <si>
    <t>ANIMAL_IN_CARGO</t>
  </si>
  <si>
    <t>ANIMAL_SCARED, CARGO_DEFENDED</t>
  </si>
  <si>
    <t>Wait for the Retreating Animal to Leave</t>
  </si>
  <si>
    <t>You remain alert and watch until the retreating animal is farther from camp.</t>
  </si>
  <si>
    <t>ANIMAL_RETREATING</t>
  </si>
  <si>
    <t>ANIMAL_RETREAT_CONFIRMED</t>
  </si>
  <si>
    <t>Restore the Fire from the Embers</t>
  </si>
  <si>
    <t>You feed the remaining heat with dry tinder until the flames return.</t>
  </si>
  <si>
    <t>FIRE_RESTORED</t>
  </si>
  <si>
    <t>Use Reserved Dry Fuel</t>
  </si>
  <si>
    <t>You use protected dry fuel from your supplies to rebuild the fire.</t>
  </si>
  <si>
    <t>Give Up on the Fire</t>
  </si>
  <si>
    <t>You decide not to waste more fuel and prepare to rest without the campfire.</t>
  </si>
  <si>
    <t>FIRE_ABANDONED</t>
  </si>
  <si>
    <t>Repair the Shelter Rope</t>
  </si>
  <si>
    <t>You replace the failed rope and pull the shelter back into position.</t>
  </si>
  <si>
    <t>SHELTER_REPAIRED</t>
  </si>
  <si>
    <t>Cover the Exposed Cargo</t>
  </si>
  <si>
    <t>You move quickly to protect the goods from further rain.</t>
  </si>
  <si>
    <t>CARGO_RAIN_SECURED</t>
  </si>
  <si>
    <t>Move the Camp to Higher Ground</t>
  </si>
  <si>
    <t>You relocate the essential parts of camp before the water rises farther.</t>
  </si>
  <si>
    <t>CAMP_MOVED_HIGHER</t>
  </si>
  <si>
    <t>Break Camp Before Flooding Worsens</t>
  </si>
  <si>
    <t>You decide the campsite is no longer safe and begin packing immediately.</t>
  </si>
  <si>
    <t>CAMP_ABANDONED</t>
  </si>
  <si>
    <t>Wait for the Storm to Ease</t>
  </si>
  <si>
    <t>You remain under cover and avoid unnecessary movement while the storm weakens.</t>
  </si>
  <si>
    <t>STORM_WAITED_OUT</t>
  </si>
  <si>
    <t>Patch the Torn Cargo Cover</t>
  </si>
  <si>
    <t>You temporarily patch the tear to keep the rain away from the goods.</t>
  </si>
  <si>
    <t>CARGO_COVER_TORN</t>
  </si>
  <si>
    <t>CARGO_COVER_REPAIRED</t>
  </si>
  <si>
    <t>Trust the Reinforced Shelter</t>
  </si>
  <si>
    <t>You decide the shelter is stable enough and return to rest beneath it.</t>
  </si>
  <si>
    <t>SHELTER_TRUSTED</t>
  </si>
  <si>
    <t>Return to Rest After Finding Nothing</t>
  </si>
  <si>
    <t>You decide that further searching is unlikely to help and return to the fire.</t>
  </si>
  <si>
    <t>MYSTERY_ABANDONED</t>
  </si>
  <si>
    <t>Wait for the Disturbance to Return</t>
  </si>
  <si>
    <t>You remain awake for a while longer to see whether anything happens again.</t>
  </si>
  <si>
    <t>MYSTERY_WAITED</t>
  </si>
  <si>
    <t>Follow the Trail of Broken Branches</t>
  </si>
  <si>
    <t>You follow the rough trail into the darkness for a short distance.</t>
  </si>
  <si>
    <t>UNKNOWN_TRAIL_FOLLOWED</t>
  </si>
  <si>
    <t>Search for the Owner of the Abandoned Pack</t>
  </si>
  <si>
    <t>You search the nearby area for whoever left the pack behind.</t>
  </si>
  <si>
    <t>PACK_OWNER_SEARCHED</t>
  </si>
  <si>
    <t>RESOLUTION</t>
  </si>
  <si>
    <t>Traveller Recovers Enough to Leave</t>
  </si>
  <si>
    <t>Your help is enough for the traveller to recover and continue toward the road.</t>
  </si>
  <si>
    <t>EVENT_RESOLVED</t>
  </si>
  <si>
    <t>Traveller Cannot Continue</t>
  </si>
  <si>
    <t>The traveller is too weak to continue and remains near the fire until morning.</t>
  </si>
  <si>
    <t>Traveller Shares Useful Information</t>
  </si>
  <si>
    <t>Your questions reveal useful information about danger on the nearby road.</t>
  </si>
  <si>
    <t>Traveller Gives a Vague Story</t>
  </si>
  <si>
    <t>The traveller answers your questions, but their story leaves you unconvinced.</t>
  </si>
  <si>
    <t>Traveller Rests Beside the Fire</t>
  </si>
  <si>
    <t>The traveller spends a quiet while beside your fire before continuing their journey.</t>
  </si>
  <si>
    <t>Traveller Leaves Peacefully</t>
  </si>
  <si>
    <t>The traveller accepts your refusal and disappears back into the night.</t>
  </si>
  <si>
    <t>Merchant Finds the Road</t>
  </si>
  <si>
    <t>With your directions, the merchant returns to the road and continues toward safety.</t>
  </si>
  <si>
    <t>Suspicious Stranger Explains Themselves</t>
  </si>
  <si>
    <t>After being questioned, the stranger gives a believable explanation and moves on.</t>
  </si>
  <si>
    <t>Suspicious Stranger Refuses to Answer</t>
  </si>
  <si>
    <t>The stranger refuses to explain themselves and slowly retreats into the darkness.</t>
  </si>
  <si>
    <t>Stranger Heeds Your Warning</t>
  </si>
  <si>
    <t>The stranger decides not to approach further and leaves the area.</t>
  </si>
  <si>
    <t>Armed Stranger Backs Away</t>
  </si>
  <si>
    <t>The armed stranger decides the confrontation is not worth the risk and withdraws.</t>
  </si>
  <si>
    <t>Armed Confrontation Turns Violent</t>
  </si>
  <si>
    <t>The stranger attacks, forcing a dangerous struggle before the threat finally ends.</t>
  </si>
  <si>
    <t>The Strangers Reveal Their Intentions</t>
  </si>
  <si>
    <t>By watching from concealment, you learn why the strangers were lingering near camp.</t>
  </si>
  <si>
    <t>The Cry Leads to an Injured Traveller</t>
  </si>
  <si>
    <t>You find the person in distress and bring them back toward the safety of the fire.</t>
  </si>
  <si>
    <t>The Cry Was a Trap</t>
  </si>
  <si>
    <t>The call for help leads you toward people waiting in ambush, forcing you to retreat.</t>
  </si>
  <si>
    <t>The Belongings Identify Their Owner</t>
  </si>
  <si>
    <t>Clues inside the belongings reveal who carried them and where they may have gone.</t>
  </si>
  <si>
    <t>The Human Tracks Lead to a Traveller</t>
  </si>
  <si>
    <t>The footprints lead to a lone traveller resting a short distance from your camp.</t>
  </si>
  <si>
    <t>The Human Tracks Lead Away</t>
  </si>
  <si>
    <t>The footprints continue toward the road until you decide not to follow farther.</t>
  </si>
  <si>
    <t>The Blood Leads to an Injured Traveller</t>
  </si>
  <si>
    <t>The trail ends at an injured traveller hiding nearby.</t>
  </si>
  <si>
    <t>The Blood Leads to an Injured Animal</t>
  </si>
  <si>
    <t>The trail ends at a wounded animal resting beneath cover.</t>
  </si>
  <si>
    <t>The Hidden Person Flees</t>
  </si>
  <si>
    <t>The figure runs before answering and disappears into the darkness.</t>
  </si>
  <si>
    <t>The Hidden Person Steps Forward</t>
  </si>
  <si>
    <t>The person reveals themselves and finally explains why they were watching the camp.</t>
  </si>
  <si>
    <t>The Stranger Refuses to Explain Your Name</t>
  </si>
  <si>
    <t>The stranger refuses to explain how they know you and leaves before you can stop them.</t>
  </si>
  <si>
    <t>No One Answers the Second Call</t>
  </si>
  <si>
    <t>Your second call receives no response. After several quiet minutes, you return to rest.</t>
  </si>
  <si>
    <t>Someone Finally Reveals Themselves</t>
  </si>
  <si>
    <t>A nervous stranger steps from hiding after your second call and explains the disturbance.</t>
  </si>
  <si>
    <t>The Returned Signal Leads to a Traveller</t>
  </si>
  <si>
    <t>Following the signal brings you to a traveller trying to find the road.</t>
  </si>
  <si>
    <t>The Lantern Trail Goes Cold</t>
  </si>
  <si>
    <t>You find no trace of the lantern's owner and eventually return to camp.</t>
  </si>
  <si>
    <t>The Vanished Light Is Never Found</t>
  </si>
  <si>
    <t>You search where the light disappeared but find nothing that explains what you saw.</t>
  </si>
  <si>
    <t>Thief Drops the Goods and Flees</t>
  </si>
  <si>
    <t>Blocked from escaping cleanly, the thief drops what they took and runs.</t>
  </si>
  <si>
    <t>Thief Fights to Escape</t>
  </si>
  <si>
    <t>The trapped thief lashes out before finally escaping into the darkness.</t>
  </si>
  <si>
    <t>You Catch Up with the Thief</t>
  </si>
  <si>
    <t>You catch the thief before they disappear and recover what they were carrying.</t>
  </si>
  <si>
    <t>The Thief Escapes the Chase</t>
  </si>
  <si>
    <t>The thief is faster in the darkness and disappears with the stolen goods.</t>
  </si>
  <si>
    <t>Thief Returns the Goods</t>
  </si>
  <si>
    <t>Faced directly, the thief gives back what they took and retreats.</t>
  </si>
  <si>
    <t>Thief Refuses and Runs</t>
  </si>
  <si>
    <t>The thief ignores your demand and bolts into the darkness.</t>
  </si>
  <si>
    <t>The Thief Escapes Unchallenged</t>
  </si>
  <si>
    <t>You let the thief go and the footsteps quickly fade into the night.</t>
  </si>
  <si>
    <t>Most Missing Goods Are Found</t>
  </si>
  <si>
    <t>You recover most of the missing items scattered or hidden around the camp.</t>
  </si>
  <si>
    <t>The Missing Goods Are Gone</t>
  </si>
  <si>
    <t>Your search finds no trace of the lost cargo.</t>
  </si>
  <si>
    <t>The Damaged Cargo Is Secured</t>
  </si>
  <si>
    <t>Your repair prevents any further loss from the damaged bag.</t>
  </si>
  <si>
    <t>The Cargo Is Safe Again</t>
  </si>
  <si>
    <t>All loose goods are secured and the camp becomes quiet again.</t>
  </si>
  <si>
    <t>The Cargo Intruder Returns</t>
  </si>
  <si>
    <t>Your patience pays off when the intruder approaches the supplies again and reveals themselves.</t>
  </si>
  <si>
    <t>The Intruder Never Returns</t>
  </si>
  <si>
    <t>You wait beside the cargo, but nothing else approaches before morning.</t>
  </si>
  <si>
    <t>The Cargo Watcher Withdraws</t>
  </si>
  <si>
    <t>Once confronted, the stranger backs away from your supplies and leaves.</t>
  </si>
  <si>
    <t>Animal Flees from the Noise</t>
  </si>
  <si>
    <t>The animal recoils at the noise and disappears into the darkness.</t>
  </si>
  <si>
    <t>Large Animal Charges</t>
  </si>
  <si>
    <t>Instead of fleeing, the large animal reacts aggressively and charges before eventually retreating.</t>
  </si>
  <si>
    <t>ANIMAL_SCARED, LARGE_ANIMAL</t>
  </si>
  <si>
    <t>Animal Loses Interest</t>
  </si>
  <si>
    <t>After watching the camp for a while, the animal turns and leaves on its own.</t>
  </si>
  <si>
    <t>Animal Takes the Food and Leaves</t>
  </si>
  <si>
    <t>The animal takes the offered food and moves away from the camp.</t>
  </si>
  <si>
    <t>Animal Keeps Its Distance</t>
  </si>
  <si>
    <t>Your retreat gives the animal enough space, and it does not follow you back to camp.</t>
  </si>
  <si>
    <t>Cargo Is Protected from the Animal</t>
  </si>
  <si>
    <t>The animal gives up on the supplies and eventually leaves.</t>
  </si>
  <si>
    <t>The Animal Tracks Lead to a Den</t>
  </si>
  <si>
    <t>The trail leads to a shallow den, and you decide not to disturb it.</t>
  </si>
  <si>
    <t>The Animal Trail Goes Too Far</t>
  </si>
  <si>
    <t>The tracks continue away from camp until you turn back rather than risk getting lost.</t>
  </si>
  <si>
    <t>The Injured Animal Allows You Close</t>
  </si>
  <si>
    <t>The animal remains calm long enough for you to inspect its injury before it moves away.</t>
  </si>
  <si>
    <t>The Injured Animal Reacts Aggressively</t>
  </si>
  <si>
    <t>The frightened animal lashes out when you approach, forcing you to retreat.</t>
  </si>
  <si>
    <t>The Injured Animal Is Left Undisturbed</t>
  </si>
  <si>
    <t>You leave the wounded animal alone and return safely to camp.</t>
  </si>
  <si>
    <t>The Fire Keeps the Animal Back</t>
  </si>
  <si>
    <t>The stronger flames keep the large animal outside the camp until it eventually leaves.</t>
  </si>
  <si>
    <t>The Animal Leaves the Cargo Area</t>
  </si>
  <si>
    <t>Driven away from the supplies, the animal disappears into the darkness.</t>
  </si>
  <si>
    <t>CARGO_DEFENDED</t>
  </si>
  <si>
    <t>The Retreating Animal Disappears</t>
  </si>
  <si>
    <t>You watch until the animal is well beyond the camp and the night becomes quiet again.</t>
  </si>
  <si>
    <t>The Fire Burns Again</t>
  </si>
  <si>
    <t>The flames return and the camp becomes warm and visible again.</t>
  </si>
  <si>
    <t>You Spend the Night Without a Fire</t>
  </si>
  <si>
    <t>You give up on the soaked fuel and settle in for a colder, darker rest.</t>
  </si>
  <si>
    <t>The Shelter Holds</t>
  </si>
  <si>
    <t>Your repair stabilizes the shelter enough to withstand the remaining storm.</t>
  </si>
  <si>
    <t>The Cargo Stays Dry</t>
  </si>
  <si>
    <t>Your quick work protects the goods before the rain can cause serious damage.</t>
  </si>
  <si>
    <t>The New Campsite Is Safer</t>
  </si>
  <si>
    <t>Higher ground keeps the rising water away and you resume resting.</t>
  </si>
  <si>
    <t>You Leave Before the Flood</t>
  </si>
  <si>
    <t>You pack quickly and abandon the campsite before the water traps you.</t>
  </si>
  <si>
    <t>The Storm Finally Weakens</t>
  </si>
  <si>
    <t>After a long wait, the worst of the wind and rain passes.</t>
  </si>
  <si>
    <t>The Patched Cover Holds</t>
  </si>
  <si>
    <t>The temporary patch keeps most of the rain away from your cargo.</t>
  </si>
  <si>
    <t>The Reinforced Shelter Survives the Night</t>
  </si>
  <si>
    <t>The shelter remains stable and protects you until the storm eases.</t>
  </si>
  <si>
    <t>The Mystery Is Left Unresolved</t>
  </si>
  <si>
    <t>You find no explanation for the disturbance and eventually return to rest.</t>
  </si>
  <si>
    <t>The Disturbance Never Returns</t>
  </si>
  <si>
    <t>You wait, but the strange sound or movement never happens again.</t>
  </si>
  <si>
    <t>The Broken Trail Ends Suddenly</t>
  </si>
  <si>
    <t>The trail disappears on harder ground and leaves no clue about what made it.</t>
  </si>
  <si>
    <t>The Trail Leads to an Old Campsite</t>
  </si>
  <si>
    <t>The broken branches lead to the remains of a recently abandoned campsite.</t>
  </si>
  <si>
    <t>No Owner Is Found</t>
  </si>
  <si>
    <t>You search the nearby area but find no one connected to the abandoned pack.</t>
  </si>
  <si>
    <t>The Pack's Owner Returns</t>
  </si>
  <si>
    <t>A nervous traveller appears while you are searching and claims the abandoned pack.</t>
  </si>
  <si>
    <t>Follow the Fleeing Person</t>
  </si>
  <si>
    <t>You follow the fleeing person for a short distance to learn why they were near your camp.</t>
  </si>
  <si>
    <t>PERSON_FLEEING</t>
  </si>
  <si>
    <t>FLEEING_PERSON_FOLLOWED</t>
  </si>
  <si>
    <t>Call to the Nearby Person</t>
  </si>
  <si>
    <t>You call toward the nearby footsteps and tell the unseen person to identify themselves.</t>
  </si>
  <si>
    <t>PERSON_NEARBY</t>
  </si>
  <si>
    <t>NEARBY_PERSON_CALLED</t>
  </si>
  <si>
    <t>Respect the Warning</t>
  </si>
  <si>
    <t>You stop advancing and tell the unseen person that you will keep your distance.</t>
  </si>
  <si>
    <t>HOSTILE_WARNING</t>
  </si>
  <si>
    <t>WARNING_RESPECTED</t>
  </si>
  <si>
    <t>Challenge the Warning</t>
  </si>
  <si>
    <t>You refuse to back away and demand that the unseen person explain themselves.</t>
  </si>
  <si>
    <t>WARNING_CHALLENGED</t>
  </si>
  <si>
    <t>The Fleeing Person Disappears</t>
  </si>
  <si>
    <t>You follow for a short distance, but the person vanishes into the darkness before you can catch them.</t>
  </si>
  <si>
    <t>The Fleeing Person Drops a Clue</t>
  </si>
  <si>
    <t>The fleeing person escapes, but you find something they dropped while running.</t>
  </si>
  <si>
    <t>A Traveller Answers from the Darkness</t>
  </si>
  <si>
    <t>The nearby person finally answers and reveals themselves as a nervous traveller.</t>
  </si>
  <si>
    <t>The Nearby Person Moves Away</t>
  </si>
  <si>
    <t>No answer comes, but the footsteps slowly retreat until the camp is quiet again.</t>
  </si>
  <si>
    <t>The Warning Is Honored</t>
  </si>
  <si>
    <t>You keep your distance, and after several tense minutes the unseen person leaves the area.</t>
  </si>
  <si>
    <t>The Stranger Reveals Themselves</t>
  </si>
  <si>
    <t>After your challenge, the person steps into view and the tense uncertainty finally ends.</t>
  </si>
  <si>
    <t>The Challenge Provokes an Attack</t>
  </si>
  <si>
    <t>Your refusal to back down turns the warning into a violent confrontation before the threat ends.</t>
  </si>
  <si>
    <t>Inspect the Human Tracks</t>
  </si>
  <si>
    <t>You study the depth, direction, and spacing of the footprints before deciding whether to follow them.</t>
  </si>
  <si>
    <t>VAR_OUTCOME_239</t>
  </si>
  <si>
    <t>Inspect the Human Tracks Reveals a Useful Clue</t>
  </si>
  <si>
    <t>Your careful inspection reveals enough information to make sense of the immediate situation before you return to camp.</t>
  </si>
  <si>
    <t>Inspect the Human Tracks Remains Inconclusive</t>
  </si>
  <si>
    <t>You inspect the situation carefully but find nothing decisive. With no further sign of danger, you eventually return to camp.</t>
  </si>
  <si>
    <t>Return to Camp and Watch the Trail</t>
  </si>
  <si>
    <t>You decide not to follow immediately and instead return to camp to see whether whoever made the tracks comes back.</t>
  </si>
  <si>
    <t>VAR_OUTCOME_242</t>
  </si>
  <si>
    <t>The Situation Reveals Itself</t>
  </si>
  <si>
    <t>Your patience pays off when the situation changes enough for you to understand what was happening near the camp.</t>
  </si>
  <si>
    <t>Nothing Else Happens</t>
  </si>
  <si>
    <t>You wait for several tense minutes, but nothing else happens and the campsite eventually becomes quiet again.</t>
  </si>
  <si>
    <t>Examine the Blood Before Following</t>
  </si>
  <si>
    <t>You inspect the blood closely to judge how fresh the trail is and whether following it is worth the risk.</t>
  </si>
  <si>
    <t>VAR_OUTCOME_245</t>
  </si>
  <si>
    <t>Examine the Blood Before Following Reveals a Useful Clue</t>
  </si>
  <si>
    <t>Examine the Blood Before Following Remains Inconclusive</t>
  </si>
  <si>
    <t>Prepare Before Following the Blood</t>
  </si>
  <si>
    <t>You return to the fire briefly and prepare yourself before deciding whether to follow the trail farther.</t>
  </si>
  <si>
    <t>VAR_OUTCOME_248</t>
  </si>
  <si>
    <t>Your Preparation Pays Off</t>
  </si>
  <si>
    <t>Being prepared lets you deal with the situation without being caught off guard, and the immediate danger passes.</t>
  </si>
  <si>
    <t>The Threat Never Develops</t>
  </si>
  <si>
    <t>You remain prepared for trouble, but the situation never escalates and the night gradually becomes quiet again.</t>
  </si>
  <si>
    <t>Inspect the Broken Trail</t>
  </si>
  <si>
    <t>You study the broken branches and disturbed vegetation to determine what may have passed through.</t>
  </si>
  <si>
    <t>VAR_OUTCOME_251</t>
  </si>
  <si>
    <t>Inspect the Broken Trail Reveals a Useful Clue</t>
  </si>
  <si>
    <t>Inspect the Broken Trail Remains Inconclusive</t>
  </si>
  <si>
    <t>Mark the Trail and Return to Camp</t>
  </si>
  <si>
    <t>You memorize the direction of the trail but decide not to leave the campsite in darkness.</t>
  </si>
  <si>
    <t>VAR_OUTCOME_254</t>
  </si>
  <si>
    <t>You Return Safely to Camp</t>
  </si>
  <si>
    <t>You avoid pushing the situation farther and return safely to the fire without another disturbance.</t>
  </si>
  <si>
    <t>The Disturbance Follows No Further</t>
  </si>
  <si>
    <t>Whatever caused the situation does not follow you back, and the rest of the camp remains undisturbed.</t>
  </si>
  <si>
    <t>Observe the Hidden Figure</t>
  </si>
  <si>
    <t>Instead of confronting the figure immediately, you remain still and watch for another movement.</t>
  </si>
  <si>
    <t>VAR_OUTCOME_257</t>
  </si>
  <si>
    <t>Return to the Fire and Call Out</t>
  </si>
  <si>
    <t>You step back toward the fire and tell the hidden figure to reveal themselves from a safer distance.</t>
  </si>
  <si>
    <t>VAR_OUTCOME_260</t>
  </si>
  <si>
    <t>The Source Backs Down</t>
  </si>
  <si>
    <t>Your direct approach forces the other party to reveal enough of their intentions before withdrawing from the area.</t>
  </si>
  <si>
    <t>The Confrontation Escalates</t>
  </si>
  <si>
    <t>The situation becomes tense and dangerous before the other party finally retreats and the encounter ends.</t>
  </si>
  <si>
    <t>Search One More Time</t>
  </si>
  <si>
    <t>You make one final careful sweep around the camp before accepting that nothing obvious is nearby.</t>
  </si>
  <si>
    <t>VAR_OUTCOME_263</t>
  </si>
  <si>
    <t>Search One More Time Reveals a Useful Clue</t>
  </si>
  <si>
    <t>Search One More Time Remains Inconclusive</t>
  </si>
  <si>
    <t>Guard the Cargo and Wait</t>
  </si>
  <si>
    <t>You position yourself beside the supplies and wait for whatever moved near them to return.</t>
  </si>
  <si>
    <t>VAR_OUTCOME_266</t>
  </si>
  <si>
    <t>Check Where the Movement Stopped</t>
  </si>
  <si>
    <t>You inspect the last place where you heard movement for tracks or anything left behind.</t>
  </si>
  <si>
    <t>SOURCE_FLED_POSSIBLE</t>
  </si>
  <si>
    <t>VAR_OUTCOME_269</t>
  </si>
  <si>
    <t>Check Where the Movement Stopped Reveals a Useful Clue</t>
  </si>
  <si>
    <t>Check Where the Movement Stopped Remains Inconclusive</t>
  </si>
  <si>
    <t>Return to Camp Instead of Chasing</t>
  </si>
  <si>
    <t>You decide not to pursue an unknown person through the darkness and return to secure the camp.</t>
  </si>
  <si>
    <t>VAR_OUTCOME_272</t>
  </si>
  <si>
    <t>Call After the Fleeing Person</t>
  </si>
  <si>
    <t>You shout after the fleeing person and demand that they stop or explain why they were near your camp.</t>
  </si>
  <si>
    <t>VAR_OUTCOME_275</t>
  </si>
  <si>
    <t>Wait for the Nearby Person to Move</t>
  </si>
  <si>
    <t>You stay silent and wait to hear whether the unseen person approaches, retreats, or reveals themselves.</t>
  </si>
  <si>
    <t>VAR_OUTCOME_278</t>
  </si>
  <si>
    <t>Return to the Fire and Prepare</t>
  </si>
  <si>
    <t>You move back toward the fire and prepare yourself before dealing with the nearby stranger.</t>
  </si>
  <si>
    <t>VAR_OUTCOME_281</t>
  </si>
  <si>
    <t>Call Out to the Group</t>
  </si>
  <si>
    <t>You reveal that you are awake and tell the people outside the camp to identify themselves.</t>
  </si>
  <si>
    <t>VAR_OUTCOME_284</t>
  </si>
  <si>
    <t>Return to the Fire and Stay Defensive</t>
  </si>
  <si>
    <t>You stop listening and move back to the fire, keeping your distance from the group.</t>
  </si>
  <si>
    <t>VAR_OUTCOME_287</t>
  </si>
  <si>
    <t>Inspect the Cargo Area</t>
  </si>
  <si>
    <t>You carefully inspect the bags and ground around the cargo for signs of an intruder.</t>
  </si>
  <si>
    <t>VAR_OUTCOME_290</t>
  </si>
  <si>
    <t>Inspect the Cargo Area Reveals a Useful Clue</t>
  </si>
  <si>
    <t>Inspect the Cargo Area Remains Inconclusive</t>
  </si>
  <si>
    <t>Observe from a Distance</t>
  </si>
  <si>
    <t>You respect the distance for now but keep watching the area to learn who issued the warning.</t>
  </si>
  <si>
    <t>VAR_OUTCOME_293</t>
  </si>
  <si>
    <t>Stop Calling and Observe</t>
  </si>
  <si>
    <t>You stop making noise and watch the darkness to see whether the unseen presence reacts.</t>
  </si>
  <si>
    <t>VAR_OUTCOME_296</t>
  </si>
  <si>
    <t>Return to the Fire</t>
  </si>
  <si>
    <t>You decide not to pursue an unseen presence that refuses to answer and move back toward the fire.</t>
  </si>
  <si>
    <t>VAR_OUTCOME_299</t>
  </si>
  <si>
    <t>Demand an Explanation</t>
  </si>
  <si>
    <t>You firmly demand that the stranger explain how they know your name before you allow them closer.</t>
  </si>
  <si>
    <t>VAR_OUTCOME_302</t>
  </si>
  <si>
    <t>Refuse to Engage</t>
  </si>
  <si>
    <t>You refuse to answer the stranger and retreat toward the safety of the fire.</t>
  </si>
  <si>
    <t>VAR_OUTCOME_305</t>
  </si>
  <si>
    <t>Observe the Stranger Before Speaking</t>
  </si>
  <si>
    <t>You remain at a distance and watch the stranger's movements before deciding whether to engage.</t>
  </si>
  <si>
    <t>VAR_OUTCOME_308</t>
  </si>
  <si>
    <t>Leave the Belongings Untouched</t>
  </si>
  <si>
    <t>You decide the abandoned items may be bait and leave them where they are.</t>
  </si>
  <si>
    <t>VAR_OUTCOME_311</t>
  </si>
  <si>
    <t>Call for the Person to Come to You</t>
  </si>
  <si>
    <t>Rather than rushing into the darkness, you tell the injured or frightened person to move toward the fire if they can.</t>
  </si>
  <si>
    <t>DISTRESS_CONFIRMED</t>
  </si>
  <si>
    <t>VAR_OUTCOME_314</t>
  </si>
  <si>
    <t>Prepare to Defend Yourself Before Approaching</t>
  </si>
  <si>
    <t>You prepare for the possibility that the call for help is a trap before moving closer.</t>
  </si>
  <si>
    <t>VAR_OUTCOME_317</t>
  </si>
  <si>
    <t>Back Away Without Provoking Them</t>
  </si>
  <si>
    <t>You keep your hands visible and slowly retreat toward the fire rather than challenge the armed stranger.</t>
  </si>
  <si>
    <t>VAR_OUTCOME_320</t>
  </si>
  <si>
    <t>Observe the Armed Stranger</t>
  </si>
  <si>
    <t>You hold your ground without advancing and watch for signs of hostile intent.</t>
  </si>
  <si>
    <t>VAR_OUTCOME_323</t>
  </si>
  <si>
    <t>Warn the Group Away</t>
  </si>
  <si>
    <t>You make it clear that the people watching your camp should keep their distance.</t>
  </si>
  <si>
    <t>SUSPICIOUS_GROUP</t>
  </si>
  <si>
    <t>VAR_OUTCOME_326</t>
  </si>
  <si>
    <t>Remain Hidden and Listen Longer</t>
  </si>
  <si>
    <t>You stay concealed and continue listening for clues about why the group is watching the camp.</t>
  </si>
  <si>
    <t>VAR_OUTCOME_329</t>
  </si>
  <si>
    <t>Inspect the Lantern</t>
  </si>
  <si>
    <t>You examine the lantern for signs of who carried it and how recently it was used.</t>
  </si>
  <si>
    <t>VAR_OUTCOME_332</t>
  </si>
  <si>
    <t>Inspect the Lantern Reveals a Useful Clue</t>
  </si>
  <si>
    <t>Inspect the Lantern Remains Inconclusive</t>
  </si>
  <si>
    <t>Leave the Lantern and Return to Camp</t>
  </si>
  <si>
    <t>You decide not to follow an unknown person farther into the darkness and return to your fire.</t>
  </si>
  <si>
    <t>VAR_OUTCOME_335</t>
  </si>
  <si>
    <t>Signal Again Before Approaching</t>
  </si>
  <si>
    <t>You answer with another deliberate torch signal and wait for a clearer response.</t>
  </si>
  <si>
    <t>VAR_OUTCOME_338</t>
  </si>
  <si>
    <t>Stay at Camp and Watch the Signal</t>
  </si>
  <si>
    <t>You decide not to follow immediately and instead observe whether the distant light moves closer.</t>
  </si>
  <si>
    <t>VAR_OUTCOME_341</t>
  </si>
  <si>
    <t>Inspect What Was Taken</t>
  </si>
  <si>
    <t>You examine the cut bag and compare its contents with what you remember packing.</t>
  </si>
  <si>
    <t>VAR_OUTCOME_344</t>
  </si>
  <si>
    <t>Inspect What Was Taken Reveals a Useful Clue</t>
  </si>
  <si>
    <t>Inspect What Was Taken Remains Inconclusive</t>
  </si>
  <si>
    <t>Secure What Remains</t>
  </si>
  <si>
    <t>You stop searching temporarily and secure the remaining cargo before anything else can disappear.</t>
  </si>
  <si>
    <t>VAR_OUTCOME_347</t>
  </si>
  <si>
    <t>Look for Tracks Around the Cargo</t>
  </si>
  <si>
    <t>You inspect the ground around the missing goods for footprints or drag marks.</t>
  </si>
  <si>
    <t>VAR_OUTCOME_350</t>
  </si>
  <si>
    <t>Look for Tracks Around the Cargo Reveals a Useful Clue</t>
  </si>
  <si>
    <t>Look for Tracks Around the Cargo Remains Inconclusive</t>
  </si>
  <si>
    <t>Return to Rest</t>
  </si>
  <si>
    <t>With no sign of an intruder, you secure the loose equipment and prepare to rest again.</t>
  </si>
  <si>
    <t>NO_THREAT_FOUND</t>
  </si>
  <si>
    <t>VAR_OUTCOME_353</t>
  </si>
  <si>
    <t>Protect the Embers and Wait</t>
  </si>
  <si>
    <t>You shield the remaining heat and wait for the wind to weaken before rebuilding the fire.</t>
  </si>
  <si>
    <t>VAR_OUTCOME_356</t>
  </si>
  <si>
    <t>Use the Embers Only for Light</t>
  </si>
  <si>
    <t>You decide not to rebuild a full fire and keep only enough flame to maintain visibility.</t>
  </si>
  <si>
    <t>VAR_OUTCOME_359</t>
  </si>
  <si>
    <t>The Repair Holds</t>
  </si>
  <si>
    <t>Your quick work stabilizes the problem and prevents it from becoming worse during the rest of the night.</t>
  </si>
  <si>
    <t>The Repair Is Only Temporary</t>
  </si>
  <si>
    <t>You stop the immediate problem, but the damage remains something that will need proper attention later.</t>
  </si>
  <si>
    <t>Search for Dry Kindling</t>
  </si>
  <si>
    <t>You search beneath the cart, shelter, and nearby cover for anything dry enough to burn.</t>
  </si>
  <si>
    <t>VAR_OUTCOME_362</t>
  </si>
  <si>
    <t>Search for Dry Kindling Reveals a Useful Clue</t>
  </si>
  <si>
    <t>Search for Dry Kindling Remains Inconclusive</t>
  </si>
  <si>
    <t>Reinforce the Shelter Instead of Replacing the Rope</t>
  </si>
  <si>
    <t>You brace the damaged section with available materials rather than relying on the broken rope.</t>
  </si>
  <si>
    <t>VAR_OUTCOME_365</t>
  </si>
  <si>
    <t>Move the Most Valuable Goods Under Shelter</t>
  </si>
  <si>
    <t>You prioritize the most valuable cargo and move it into the driest part of the camp.</t>
  </si>
  <si>
    <t>VAR_OUTCOME_368</t>
  </si>
  <si>
    <t>Inspect the Shelter One More Time</t>
  </si>
  <si>
    <t>You check the reinforced shelter carefully before trusting it for the rest of the storm.</t>
  </si>
  <si>
    <t>VAR_OUTCOME_371</t>
  </si>
  <si>
    <t>Inspect the Shelter One More Time Reveals a Useful Clue</t>
  </si>
  <si>
    <t>Inspect the Shelter One More Time Remains Inconclusive</t>
  </si>
  <si>
    <t>The Person Reacts Unexpectedly</t>
  </si>
  <si>
    <t>The person reacts differently than expected, but the encounter still ends without leaving the immediate situation unresolved.</t>
  </si>
  <si>
    <t>The Person Reacts Unexpectedly 2</t>
  </si>
  <si>
    <t>The Person Reacts Unexpectedly 3</t>
  </si>
  <si>
    <t>The Person Reacts Unexpectedly 4</t>
  </si>
  <si>
    <t>The Person Reacts Unexpectedly 5</t>
  </si>
  <si>
    <t>Alternative Outcome: Search the Abandoned Belongings</t>
  </si>
  <si>
    <t>The situation develops differently than expected, but the immediate encounter still reaches a clear conclusion.</t>
  </si>
  <si>
    <t>The Person Reacts Unexpectedly 6</t>
  </si>
  <si>
    <t>Alternative Outcome: Follow the Returned Light Signal</t>
  </si>
  <si>
    <t>Alternative Outcome: Search Beyond the Extinguished Lantern</t>
  </si>
  <si>
    <t>Alternative Outcome: Follow Where the Light Vanished</t>
  </si>
  <si>
    <t>The Thief Gets Away</t>
  </si>
  <si>
    <t>Despite your response, the thief finds an opening and escapes into the darkness before the encounter can develop further.</t>
  </si>
  <si>
    <t>Some Cargo Still Needs Attention</t>
  </si>
  <si>
    <t>You stop the immediate problem, but not everything can be fully secured or recovered before you return to rest.</t>
  </si>
  <si>
    <t>Some Cargo Still Needs Attention 2</t>
  </si>
  <si>
    <t>Some Cargo Still Needs Attention 3</t>
  </si>
  <si>
    <t>The Animal Reacts Unexpectedly</t>
  </si>
  <si>
    <t>The animal reacts differently than expected, forcing you to adjust before it finally leaves the immediate area.</t>
  </si>
  <si>
    <t>Alternative Outcome: Offer Food Away from Camp</t>
  </si>
  <si>
    <t>The Animal Reacts Unexpectedly 2</t>
  </si>
  <si>
    <t>The Animal Reacts Unexpectedly 3</t>
  </si>
  <si>
    <t>The Animal Reacts Unexpectedly 4</t>
  </si>
  <si>
    <t>The Animal Reacts Unexpectedly 5</t>
  </si>
  <si>
    <t>The Animal Reacts Unexpectedly 6</t>
  </si>
  <si>
    <t>The Fire Remains Weak</t>
  </si>
  <si>
    <t>Your attempt helps, but the fire never fully recovers and you continue the night with only limited warmth and light.</t>
  </si>
  <si>
    <t>Alternative Outcome: Use Reserved Dry Fuel</t>
  </si>
  <si>
    <t>The Fire Remains Weak 2</t>
  </si>
  <si>
    <t>The Repair Barely Holds</t>
  </si>
  <si>
    <t>The repair survives the immediate problem, but only just, leaving the camp less comfortable for the rest of the night.</t>
  </si>
  <si>
    <t>Some Cargo Still Needs Attention 4</t>
  </si>
  <si>
    <t>Alternative Outcome: Move the Camp to Higher Ground</t>
  </si>
  <si>
    <t>The Weather Causes Further Trouble</t>
  </si>
  <si>
    <t>Your response prevents the worst outcome, but the weather still causes additional difficulty before the situation settles.</t>
  </si>
  <si>
    <t>The Weather Causes Further Trouble 2</t>
  </si>
  <si>
    <t>Some Cargo Still Needs Attention 5</t>
  </si>
  <si>
    <t>The Repair Barely Holds 2</t>
  </si>
  <si>
    <t>Alternative Outcome: Return to Rest After Finding Nothing</t>
  </si>
  <si>
    <t>Nothing More Is Revealed</t>
  </si>
  <si>
    <t>You wait and observe, but the situation gives you no further answer before the night becomes quiet again.</t>
  </si>
  <si>
    <t>Alternative Outcome: Respect the Warning</t>
  </si>
  <si>
    <t>50% - 75%</t>
  </si>
  <si>
    <t>BASE_THIRST_IDLE_DRAIN</t>
  </si>
  <si>
    <t>Icon</t>
  </si>
  <si>
    <t>Name</t>
  </si>
  <si>
    <t>BASE_STAMINA_IDLE_DRAIN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</si>
</sst>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  <font>
      <sz val="11"/>
      <color rgb="FF000000"/>
      <name val="Carlito"/>
    </font>
    <font>
      <sz val="1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5" xfId="0" applyBorder="1"/>
    <xf numFmtId="0" fontId="0" fillId="0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9" fontId="0" fillId="0" borderId="11" xfId="0" applyNumberFormat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horizontal="right"/>
    </xf>
    <xf numFmtId="0" fontId="0" fillId="0" borderId="18" xfId="0" applyBorder="1"/>
    <xf numFmtId="0" fontId="2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3" xfId="0" applyBorder="1"/>
    <xf numFmtId="0" fontId="0" fillId="0" borderId="11" xfId="0" applyBorder="1"/>
    <xf numFmtId="9" fontId="0" fillId="0" borderId="0" xfId="0" applyNumberFormat="1"/>
    <xf numFmtId="0" fontId="0" fillId="0" borderId="0" xfId="0" applyAlignment="1">
      <alignment vertical="center"/>
    </xf>
    <xf numFmtId="0" fontId="0" fillId="0" borderId="4" xfId="0" applyBorder="1"/>
    <xf numFmtId="0" fontId="0" fillId="0" borderId="4" xfId="0" applyFill="1" applyBorder="1"/>
    <xf numFmtId="0" fontId="0" fillId="0" borderId="24" xfId="0" applyBorder="1"/>
    <xf numFmtId="0" fontId="0" fillId="0" borderId="24" xfId="0" applyFill="1" applyBorder="1"/>
    <xf numFmtId="0" fontId="0" fillId="0" borderId="0" xfId="0" applyNumberFormat="1"/>
    <xf numFmtId="0" fontId="3" fillId="0" borderId="0" xfId="0" applyFont="1"/>
    <xf numFmtId="0" fontId="5" fillId="0" borderId="0" xfId="0" applyFont="1" applyFill="1"/>
    <xf numFmtId="0" fontId="4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vertical="top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5DC7-F59E-4E5D-A609-A1EE8369D0F9}">
  <dimension ref="A1:I19"/>
  <sheetViews>
    <sheetView zoomScale="190" zoomScaleNormal="190" workbookViewId="0">
      <selection activeCell="B31" sqref="B31"/>
    </sheetView>
  </sheetViews>
  <sheetFormatPr defaultRowHeight="14.5"/>
  <cols>
    <col min="1" max="2" width="11.453125" customWidth="1"/>
    <col min="5" max="5" width="9.54296875" bestFit="1" customWidth="1"/>
    <col min="7" max="7" width="17" bestFit="1" customWidth="1"/>
    <col min="8" max="8" width="16.54296875" bestFit="1" customWidth="1"/>
    <col min="9" max="9" width="10.1796875" bestFit="1" customWidth="1"/>
  </cols>
  <sheetData>
    <row r="1" spans="1:9">
      <c r="C1" s="64" t="s">
        <v>0</v>
      </c>
      <c r="D1" s="64"/>
      <c r="E1" s="64"/>
      <c r="F1" s="64"/>
      <c r="G1" s="64"/>
      <c r="H1" s="64"/>
      <c r="I1" s="64"/>
    </row>
    <row r="2" spans="1:9">
      <c r="A2" t="s">
        <v>1091</v>
      </c>
      <c r="B2" t="s">
        <v>1090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9</v>
      </c>
      <c r="B3" t="s">
        <v>84</v>
      </c>
      <c r="C3">
        <v>1</v>
      </c>
      <c r="D3">
        <v>1</v>
      </c>
      <c r="E3">
        <v>1</v>
      </c>
      <c r="F3" t="s">
        <v>10</v>
      </c>
      <c r="G3">
        <v>1</v>
      </c>
      <c r="H3">
        <v>10</v>
      </c>
      <c r="I3">
        <v>0</v>
      </c>
    </row>
    <row r="4" spans="1:9">
      <c r="A4" t="s">
        <v>11</v>
      </c>
      <c r="B4" t="s">
        <v>84</v>
      </c>
      <c r="C4">
        <v>0.8</v>
      </c>
      <c r="D4">
        <v>1.2</v>
      </c>
      <c r="E4">
        <v>2</v>
      </c>
      <c r="F4" t="s">
        <v>12</v>
      </c>
      <c r="G4">
        <v>1</v>
      </c>
      <c r="H4">
        <v>0</v>
      </c>
      <c r="I4">
        <v>0</v>
      </c>
    </row>
    <row r="5" spans="1:9">
      <c r="A5" t="s">
        <v>13</v>
      </c>
      <c r="B5" t="s">
        <v>84</v>
      </c>
      <c r="C5">
        <v>0.6</v>
      </c>
      <c r="D5">
        <v>1</v>
      </c>
      <c r="E5">
        <v>4</v>
      </c>
      <c r="F5" t="s">
        <v>14</v>
      </c>
      <c r="G5">
        <v>1.07</v>
      </c>
      <c r="H5">
        <v>4</v>
      </c>
      <c r="I5">
        <v>40</v>
      </c>
    </row>
    <row r="6" spans="1:9">
      <c r="A6" t="s">
        <v>15</v>
      </c>
      <c r="C6">
        <v>0.8</v>
      </c>
      <c r="D6">
        <v>1.5</v>
      </c>
      <c r="E6">
        <v>3</v>
      </c>
      <c r="F6" t="s">
        <v>14</v>
      </c>
      <c r="G6">
        <v>1</v>
      </c>
      <c r="H6">
        <v>3</v>
      </c>
      <c r="I6">
        <v>30</v>
      </c>
    </row>
    <row r="7" spans="1:9">
      <c r="A7" t="s">
        <v>16</v>
      </c>
      <c r="B7" t="s">
        <v>84</v>
      </c>
      <c r="C7">
        <v>0.3</v>
      </c>
      <c r="D7">
        <v>2.5</v>
      </c>
      <c r="E7">
        <v>5</v>
      </c>
      <c r="F7" t="s">
        <v>12</v>
      </c>
      <c r="G7">
        <v>1</v>
      </c>
      <c r="H7">
        <v>0</v>
      </c>
      <c r="I7">
        <v>0</v>
      </c>
    </row>
    <row r="8" spans="1:9">
      <c r="A8" t="s">
        <v>17</v>
      </c>
      <c r="C8">
        <v>0.7</v>
      </c>
      <c r="D8">
        <v>2</v>
      </c>
      <c r="E8">
        <v>2</v>
      </c>
      <c r="F8" t="s">
        <v>12</v>
      </c>
      <c r="G8">
        <v>1</v>
      </c>
      <c r="H8">
        <v>0</v>
      </c>
      <c r="I8">
        <v>0</v>
      </c>
    </row>
    <row r="9" spans="1:9">
      <c r="A9" t="s">
        <v>18</v>
      </c>
      <c r="B9" t="s">
        <v>84</v>
      </c>
      <c r="C9">
        <v>0.4</v>
      </c>
      <c r="D9">
        <v>1.8</v>
      </c>
      <c r="E9">
        <v>4</v>
      </c>
      <c r="F9" t="s">
        <v>12</v>
      </c>
      <c r="G9">
        <v>1</v>
      </c>
      <c r="H9">
        <v>0</v>
      </c>
      <c r="I9">
        <v>0</v>
      </c>
    </row>
    <row r="10" spans="1:9">
      <c r="A10" t="s">
        <v>19</v>
      </c>
      <c r="C10">
        <v>1</v>
      </c>
      <c r="D10">
        <v>1.2</v>
      </c>
      <c r="E10">
        <v>5</v>
      </c>
      <c r="F10" t="s">
        <v>14</v>
      </c>
      <c r="G10">
        <v>1.1000000000000001</v>
      </c>
      <c r="H10">
        <v>5</v>
      </c>
      <c r="I10">
        <v>50</v>
      </c>
    </row>
    <row r="11" spans="1:9">
      <c r="A11" t="s">
        <v>20</v>
      </c>
      <c r="C11">
        <v>0.5</v>
      </c>
      <c r="D11">
        <v>1.2</v>
      </c>
      <c r="E11">
        <v>7</v>
      </c>
      <c r="F11" t="s">
        <v>12</v>
      </c>
      <c r="G11">
        <v>1</v>
      </c>
      <c r="H11">
        <v>0</v>
      </c>
      <c r="I11">
        <v>0</v>
      </c>
    </row>
    <row r="12" spans="1:9">
      <c r="A12" t="s">
        <v>21</v>
      </c>
      <c r="C12">
        <v>0.8</v>
      </c>
      <c r="D12">
        <v>2</v>
      </c>
      <c r="E12">
        <v>3</v>
      </c>
      <c r="F12" t="s">
        <v>12</v>
      </c>
      <c r="G12">
        <v>1</v>
      </c>
      <c r="H12">
        <v>0</v>
      </c>
      <c r="I12">
        <v>0</v>
      </c>
    </row>
    <row r="13" spans="1:9">
      <c r="A13" t="s">
        <v>22</v>
      </c>
      <c r="C13">
        <v>2</v>
      </c>
      <c r="D13">
        <v>0.8</v>
      </c>
      <c r="E13">
        <v>2</v>
      </c>
      <c r="F13" t="s">
        <v>12</v>
      </c>
      <c r="G13">
        <v>1</v>
      </c>
      <c r="H13">
        <v>0</v>
      </c>
      <c r="I13">
        <v>0</v>
      </c>
    </row>
    <row r="14" spans="1:9">
      <c r="A14" t="s">
        <v>23</v>
      </c>
      <c r="C14">
        <v>2.5</v>
      </c>
      <c r="D14">
        <v>0.7</v>
      </c>
      <c r="E14">
        <v>5</v>
      </c>
      <c r="F14" t="s">
        <v>12</v>
      </c>
      <c r="G14">
        <v>1</v>
      </c>
      <c r="H14">
        <v>0</v>
      </c>
      <c r="I14">
        <v>0</v>
      </c>
    </row>
    <row r="15" spans="1:9">
      <c r="A15" t="s">
        <v>24</v>
      </c>
      <c r="C15">
        <v>1.2</v>
      </c>
      <c r="D15">
        <v>0.8</v>
      </c>
      <c r="E15">
        <v>4</v>
      </c>
      <c r="F15" t="s">
        <v>12</v>
      </c>
      <c r="G15">
        <v>1</v>
      </c>
      <c r="H15">
        <v>0</v>
      </c>
      <c r="I15">
        <v>0</v>
      </c>
    </row>
    <row r="16" spans="1:9">
      <c r="A16" t="s">
        <v>25</v>
      </c>
      <c r="C16">
        <v>1.5</v>
      </c>
      <c r="D16">
        <v>1</v>
      </c>
      <c r="E16">
        <v>15</v>
      </c>
      <c r="F16" t="s">
        <v>12</v>
      </c>
      <c r="G16">
        <v>1</v>
      </c>
      <c r="H16">
        <v>0</v>
      </c>
      <c r="I16">
        <v>0</v>
      </c>
    </row>
    <row r="17" spans="1:9">
      <c r="A17" t="s">
        <v>26</v>
      </c>
      <c r="C17">
        <v>0.5</v>
      </c>
      <c r="D17">
        <v>1.5</v>
      </c>
      <c r="E17">
        <v>4</v>
      </c>
      <c r="F17" t="s">
        <v>14</v>
      </c>
      <c r="G17">
        <v>1.07</v>
      </c>
      <c r="H17">
        <v>4</v>
      </c>
      <c r="I17">
        <v>40</v>
      </c>
    </row>
    <row r="18" spans="1:9">
      <c r="A18" t="s">
        <v>27</v>
      </c>
      <c r="C18">
        <v>0.4</v>
      </c>
      <c r="D18">
        <v>2</v>
      </c>
      <c r="E18">
        <v>12</v>
      </c>
      <c r="F18" t="s">
        <v>12</v>
      </c>
      <c r="G18">
        <v>1</v>
      </c>
      <c r="H18">
        <v>0</v>
      </c>
      <c r="I18">
        <v>0</v>
      </c>
    </row>
    <row r="19" spans="1:9">
      <c r="A19" t="s">
        <v>28</v>
      </c>
      <c r="C19">
        <v>10</v>
      </c>
      <c r="D19">
        <v>50</v>
      </c>
      <c r="E19">
        <v>18</v>
      </c>
      <c r="F19" t="s">
        <v>12</v>
      </c>
      <c r="G19">
        <v>1</v>
      </c>
      <c r="H19">
        <v>0</v>
      </c>
      <c r="I19">
        <v>0</v>
      </c>
    </row>
  </sheetData>
  <mergeCells count="2">
    <mergeCell ref="C1:F1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3A53-F3E4-46A3-9B6B-A27A4D6290F5}">
  <dimension ref="A1:W36"/>
  <sheetViews>
    <sheetView zoomScale="160" zoomScaleNormal="160" workbookViewId="0">
      <selection activeCell="B24" sqref="B24:D26"/>
    </sheetView>
  </sheetViews>
  <sheetFormatPr defaultRowHeight="14.5"/>
  <cols>
    <col min="1" max="1" width="14.1796875" bestFit="1" customWidth="1"/>
    <col min="2" max="2" width="13.26953125" bestFit="1" customWidth="1"/>
    <col min="3" max="4" width="11.81640625" bestFit="1" customWidth="1"/>
    <col min="5" max="5" width="11.26953125" bestFit="1" customWidth="1"/>
    <col min="6" max="6" width="17" bestFit="1" customWidth="1"/>
    <col min="7" max="7" width="26.453125" bestFit="1" customWidth="1"/>
    <col min="8" max="8" width="26.26953125" bestFit="1" customWidth="1"/>
    <col min="9" max="10" width="26.26953125" customWidth="1"/>
    <col min="11" max="11" width="16.453125" bestFit="1" customWidth="1"/>
    <col min="12" max="12" width="15.54296875" customWidth="1"/>
    <col min="13" max="13" width="17.1796875" bestFit="1" customWidth="1"/>
    <col min="14" max="14" width="16" customWidth="1"/>
    <col min="15" max="15" width="16.08984375" bestFit="1" customWidth="1"/>
    <col min="16" max="16" width="17.81640625" bestFit="1" customWidth="1"/>
    <col min="21" max="21" width="13.1796875" customWidth="1"/>
    <col min="22" max="22" width="9.54296875" customWidth="1"/>
  </cols>
  <sheetData>
    <row r="1" spans="1:23">
      <c r="A1" s="65" t="s">
        <v>29</v>
      </c>
      <c r="B1" s="65"/>
      <c r="C1" s="65"/>
      <c r="D1" s="65"/>
      <c r="E1" s="66"/>
      <c r="F1" s="67" t="s">
        <v>30</v>
      </c>
      <c r="G1" s="64"/>
      <c r="H1" s="64"/>
      <c r="I1" s="63"/>
      <c r="J1" s="57"/>
      <c r="M1" s="44"/>
      <c r="N1" s="44"/>
      <c r="O1" s="44"/>
      <c r="P1" s="44"/>
      <c r="Q1" s="44"/>
      <c r="R1" s="44"/>
      <c r="S1" s="44"/>
      <c r="T1" s="44"/>
    </row>
    <row r="2" spans="1:23">
      <c r="A2" s="3" t="s">
        <v>31</v>
      </c>
      <c r="B2" t="s">
        <v>32</v>
      </c>
      <c r="C2" s="7" t="s">
        <v>33</v>
      </c>
      <c r="D2" s="3" t="s">
        <v>34</v>
      </c>
      <c r="E2" s="4" t="s">
        <v>35</v>
      </c>
      <c r="F2" t="s">
        <v>6</v>
      </c>
      <c r="G2" t="s">
        <v>36</v>
      </c>
      <c r="H2" t="s">
        <v>37</v>
      </c>
      <c r="I2" t="s">
        <v>1092</v>
      </c>
      <c r="J2" t="s">
        <v>1089</v>
      </c>
      <c r="K2" t="s">
        <v>38</v>
      </c>
      <c r="L2" t="s">
        <v>39</v>
      </c>
      <c r="M2" t="s">
        <v>40</v>
      </c>
      <c r="N2" t="s">
        <v>41</v>
      </c>
      <c r="O2" s="62" t="s">
        <v>42</v>
      </c>
      <c r="P2" t="s">
        <v>43</v>
      </c>
    </row>
    <row r="3" spans="1:23">
      <c r="A3" s="3">
        <v>10</v>
      </c>
      <c r="B3">
        <v>10</v>
      </c>
      <c r="C3" s="7">
        <v>10</v>
      </c>
      <c r="D3" s="3">
        <v>100</v>
      </c>
      <c r="E3" s="4">
        <v>5</v>
      </c>
      <c r="F3" s="7">
        <v>1</v>
      </c>
      <c r="G3" s="7">
        <v>1</v>
      </c>
      <c r="H3" s="7">
        <v>1</v>
      </c>
      <c r="I3" s="7">
        <v>0.1</v>
      </c>
      <c r="J3" s="7">
        <v>0.1</v>
      </c>
      <c r="K3" s="7">
        <v>0.25</v>
      </c>
      <c r="L3" s="7">
        <v>0.25</v>
      </c>
      <c r="M3">
        <v>1.5</v>
      </c>
      <c r="N3">
        <v>1</v>
      </c>
      <c r="O3">
        <v>2</v>
      </c>
      <c r="P3">
        <v>4</v>
      </c>
    </row>
    <row r="4" spans="1:23">
      <c r="A4" s="3"/>
      <c r="B4" s="3"/>
      <c r="C4" s="3"/>
      <c r="D4" s="3"/>
      <c r="E4" s="4"/>
    </row>
    <row r="5" spans="1:23">
      <c r="A5" s="3"/>
      <c r="B5" s="3"/>
      <c r="C5" s="3"/>
      <c r="D5" s="3"/>
      <c r="E5" s="4"/>
    </row>
    <row r="6" spans="1:23">
      <c r="A6" s="3"/>
      <c r="B6" s="3"/>
      <c r="C6" s="3"/>
      <c r="D6" s="3"/>
      <c r="E6" s="4"/>
    </row>
    <row r="7" spans="1:23">
      <c r="A7" s="3"/>
      <c r="B7" s="3"/>
      <c r="C7" s="3"/>
      <c r="D7" s="3"/>
      <c r="E7" s="4"/>
    </row>
    <row r="8" spans="1:23">
      <c r="A8" s="3"/>
      <c r="B8" s="3"/>
      <c r="D8" s="3"/>
      <c r="E8" s="4"/>
      <c r="U8" s="3"/>
      <c r="V8" s="3"/>
      <c r="W8" s="3"/>
    </row>
    <row r="9" spans="1:23">
      <c r="A9" s="3"/>
      <c r="B9" s="3"/>
      <c r="D9" s="3"/>
      <c r="E9" s="4"/>
      <c r="U9" s="3"/>
      <c r="V9" s="3"/>
      <c r="W9" s="3"/>
    </row>
    <row r="10" spans="1:23">
      <c r="A10" s="3"/>
      <c r="B10" s="3"/>
      <c r="C10" s="3"/>
      <c r="D10" s="3"/>
      <c r="E10" s="4"/>
      <c r="U10" s="58"/>
      <c r="V10" s="58"/>
      <c r="W10" s="3"/>
    </row>
    <row r="11" spans="1:23">
      <c r="A11" s="3"/>
      <c r="B11" s="3"/>
      <c r="C11" s="3"/>
      <c r="D11" s="3"/>
      <c r="E11" s="4"/>
      <c r="U11" s="58"/>
      <c r="V11" s="58"/>
      <c r="W11" s="3"/>
    </row>
    <row r="12" spans="1:23">
      <c r="A12" s="3"/>
      <c r="B12" s="3"/>
      <c r="C12" s="3"/>
      <c r="D12" s="3"/>
      <c r="E12" s="4"/>
      <c r="U12" s="58"/>
      <c r="V12" s="58"/>
      <c r="W12" s="3"/>
    </row>
    <row r="13" spans="1:23">
      <c r="A13" s="3"/>
      <c r="B13" s="3"/>
      <c r="C13" s="3"/>
      <c r="D13" s="3"/>
      <c r="E13" s="4"/>
      <c r="U13" s="3"/>
      <c r="V13" s="3"/>
      <c r="W13" s="3"/>
    </row>
    <row r="14" spans="1:23">
      <c r="A14" s="3"/>
      <c r="B14" s="3"/>
      <c r="C14" s="3"/>
      <c r="D14" s="3"/>
      <c r="E14" s="4"/>
      <c r="U14" s="3"/>
      <c r="V14" s="3"/>
      <c r="W14" s="3"/>
    </row>
    <row r="15" spans="1:23">
      <c r="A15" s="3"/>
      <c r="B15" s="3"/>
      <c r="C15" s="3"/>
      <c r="D15" s="3"/>
      <c r="E15" s="4"/>
      <c r="U15" s="3"/>
      <c r="V15" s="3"/>
      <c r="W15" s="3"/>
    </row>
    <row r="16" spans="1:23">
      <c r="A16" s="3"/>
      <c r="B16" s="3"/>
      <c r="C16" s="3"/>
      <c r="D16" s="3"/>
      <c r="E16" s="4"/>
    </row>
    <row r="17" spans="1:5">
      <c r="A17" s="3"/>
      <c r="B17" s="3"/>
      <c r="C17" s="3"/>
      <c r="D17" s="3"/>
      <c r="E17" s="4"/>
    </row>
    <row r="18" spans="1:5">
      <c r="A18" s="3"/>
      <c r="B18" s="3"/>
      <c r="C18" s="3"/>
      <c r="D18" s="3"/>
      <c r="E18" s="4"/>
    </row>
    <row r="19" spans="1:5">
      <c r="A19" s="3"/>
      <c r="B19" s="3"/>
      <c r="C19" s="3"/>
      <c r="D19" s="3"/>
      <c r="E19" s="4"/>
    </row>
    <row r="20" spans="1:5">
      <c r="A20" s="3"/>
      <c r="B20" s="3"/>
      <c r="C20" s="3"/>
      <c r="D20" s="3"/>
      <c r="E20" s="4"/>
    </row>
    <row r="21" spans="1:5">
      <c r="A21" s="3"/>
      <c r="B21" s="3"/>
      <c r="C21" s="3"/>
      <c r="D21" s="3"/>
      <c r="E21" s="4"/>
    </row>
    <row r="22" spans="1:5">
      <c r="A22" s="3"/>
      <c r="B22" s="3"/>
      <c r="C22" s="3"/>
      <c r="D22" s="3"/>
      <c r="E22" s="4"/>
    </row>
    <row r="23" spans="1:5">
      <c r="A23" s="3"/>
      <c r="B23" s="3"/>
      <c r="C23" s="3"/>
      <c r="D23" s="3"/>
      <c r="E23" s="4"/>
    </row>
    <row r="24" spans="1:5">
      <c r="A24" s="3"/>
      <c r="E24" s="4"/>
    </row>
    <row r="25" spans="1:5">
      <c r="A25" s="3"/>
      <c r="E25" s="4"/>
    </row>
    <row r="26" spans="1:5">
      <c r="A26" s="3"/>
      <c r="E26" s="4"/>
    </row>
    <row r="27" spans="1:5">
      <c r="A27" s="3"/>
      <c r="B27" s="3"/>
      <c r="C27" s="3"/>
      <c r="D27" s="3"/>
      <c r="E27" s="4"/>
    </row>
    <row r="28" spans="1:5">
      <c r="A28" s="3"/>
      <c r="B28" s="3"/>
      <c r="C28" s="3"/>
      <c r="D28" s="3"/>
      <c r="E28" s="4"/>
    </row>
    <row r="29" spans="1:5">
      <c r="A29" s="3"/>
      <c r="B29" s="3"/>
      <c r="C29" s="3"/>
      <c r="D29" s="3"/>
      <c r="E29" s="4"/>
    </row>
    <row r="30" spans="1:5">
      <c r="A30" s="3"/>
      <c r="B30" s="3"/>
      <c r="C30" s="3"/>
      <c r="D30" s="3"/>
      <c r="E30" s="4"/>
    </row>
    <row r="31" spans="1:5">
      <c r="A31" s="3"/>
      <c r="B31" s="3"/>
      <c r="C31" s="3"/>
      <c r="D31" s="3"/>
      <c r="E31" s="4"/>
    </row>
    <row r="32" spans="1:5">
      <c r="A32" s="3"/>
      <c r="B32" s="3"/>
      <c r="C32" s="3"/>
      <c r="D32" s="3"/>
      <c r="E32" s="4"/>
    </row>
    <row r="33" spans="1:5">
      <c r="A33" s="3"/>
      <c r="B33" s="3"/>
      <c r="C33" s="3"/>
      <c r="D33" s="3"/>
      <c r="E33" s="4"/>
    </row>
    <row r="34" spans="1:5">
      <c r="A34" s="3"/>
      <c r="B34" s="3"/>
      <c r="C34" s="3"/>
      <c r="D34" s="3"/>
      <c r="E34" s="4"/>
    </row>
    <row r="35" spans="1:5">
      <c r="A35" s="3"/>
      <c r="B35" s="3"/>
      <c r="C35" s="3"/>
      <c r="D35" s="3"/>
      <c r="E35" s="4"/>
    </row>
    <row r="36" spans="1:5">
      <c r="A36" s="3"/>
      <c r="B36" s="3"/>
      <c r="C36" s="3"/>
      <c r="D36" s="3"/>
      <c r="E36" s="4"/>
    </row>
  </sheetData>
  <mergeCells count="2">
    <mergeCell ref="A1:E1"/>
    <mergeCell ref="F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3E77-9E67-4D48-8005-47061821FADA}">
  <dimension ref="A1:Y50"/>
  <sheetViews>
    <sheetView zoomScale="160" zoomScaleNormal="160" workbookViewId="0">
      <selection activeCell="E5" sqref="E5"/>
    </sheetView>
  </sheetViews>
  <sheetFormatPr defaultRowHeight="14.5"/>
  <cols>
    <col min="2" max="2" width="15.54296875" bestFit="1" customWidth="1"/>
    <col min="3" max="3" width="19.7265625" customWidth="1"/>
    <col min="4" max="4" width="10.81640625" bestFit="1" customWidth="1"/>
    <col min="5" max="5" width="14.7265625" bestFit="1" customWidth="1"/>
    <col min="6" max="6" width="15.54296875" bestFit="1" customWidth="1"/>
    <col min="7" max="7" width="12.81640625" customWidth="1"/>
    <col min="8" max="9" width="11.81640625" customWidth="1"/>
    <col min="10" max="10" width="20.54296875" bestFit="1" customWidth="1"/>
    <col min="11" max="11" width="20.54296875" customWidth="1"/>
    <col min="12" max="12" width="20.54296875" bestFit="1" customWidth="1"/>
    <col min="13" max="13" width="20.54296875" customWidth="1"/>
    <col min="14" max="14" width="20.54296875" bestFit="1" customWidth="1"/>
    <col min="15" max="15" width="20.54296875" customWidth="1"/>
    <col min="16" max="16" width="20.54296875" bestFit="1" customWidth="1"/>
    <col min="17" max="17" width="20.54296875" customWidth="1"/>
    <col min="18" max="18" width="23.1796875" bestFit="1" customWidth="1"/>
    <col min="21" max="21" width="10.7265625" customWidth="1"/>
  </cols>
  <sheetData>
    <row r="1" spans="1:19">
      <c r="A1" s="5"/>
      <c r="B1" s="5" t="s">
        <v>47</v>
      </c>
      <c r="C1" s="5" t="s">
        <v>1</v>
      </c>
      <c r="D1" s="5" t="s">
        <v>48</v>
      </c>
      <c r="E1" s="5" t="s">
        <v>49</v>
      </c>
      <c r="F1" s="5" t="s">
        <v>50</v>
      </c>
      <c r="G1" s="5" t="s">
        <v>51</v>
      </c>
      <c r="H1" s="10" t="s">
        <v>52</v>
      </c>
      <c r="I1" s="71" t="s">
        <v>53</v>
      </c>
      <c r="J1" s="71"/>
      <c r="K1" s="72" t="s">
        <v>54</v>
      </c>
      <c r="L1" s="71"/>
      <c r="M1" s="72" t="s">
        <v>55</v>
      </c>
      <c r="N1" s="71"/>
      <c r="O1" s="72" t="s">
        <v>56</v>
      </c>
      <c r="P1" s="73"/>
      <c r="Q1" s="72" t="s">
        <v>57</v>
      </c>
      <c r="R1" s="71"/>
      <c r="S1" s="8"/>
    </row>
    <row r="2" spans="1:19">
      <c r="A2" s="3"/>
      <c r="B2" s="3"/>
      <c r="C2" s="3"/>
      <c r="D2" s="3"/>
      <c r="E2" s="3"/>
      <c r="F2" s="3"/>
      <c r="G2" s="3"/>
      <c r="H2" s="4"/>
      <c r="I2" s="58" t="s">
        <v>58</v>
      </c>
      <c r="J2" s="58" t="s">
        <v>59</v>
      </c>
      <c r="K2" s="60" t="s">
        <v>58</v>
      </c>
      <c r="L2" s="58" t="s">
        <v>60</v>
      </c>
      <c r="M2" s="60" t="s">
        <v>58</v>
      </c>
      <c r="N2" s="58" t="s">
        <v>61</v>
      </c>
      <c r="O2" s="60" t="s">
        <v>58</v>
      </c>
      <c r="P2" s="59" t="s">
        <v>62</v>
      </c>
      <c r="Q2" s="60" t="s">
        <v>58</v>
      </c>
      <c r="R2" s="58" t="s">
        <v>63</v>
      </c>
      <c r="S2" s="8"/>
    </row>
    <row r="3" spans="1:19">
      <c r="A3" s="68" t="s">
        <v>64</v>
      </c>
      <c r="B3" s="65" t="s">
        <v>65</v>
      </c>
      <c r="C3" s="3" t="s">
        <v>11</v>
      </c>
      <c r="D3" s="3">
        <v>24</v>
      </c>
      <c r="E3" s="3">
        <v>12</v>
      </c>
      <c r="F3" s="3">
        <v>72</v>
      </c>
      <c r="G3" s="3">
        <f t="shared" ref="G3:G44" si="0">E3*30</f>
        <v>360</v>
      </c>
      <c r="H3" s="4">
        <v>0</v>
      </c>
      <c r="I3" s="3">
        <v>0</v>
      </c>
      <c r="J3" s="3">
        <f t="shared" ref="J3:J44" si="1">E3*3</f>
        <v>36</v>
      </c>
      <c r="K3" s="8">
        <f>J3</f>
        <v>36</v>
      </c>
      <c r="L3" s="3">
        <f t="shared" ref="L3:L44" si="2">E3*5</f>
        <v>60</v>
      </c>
      <c r="M3" s="9">
        <f>L3</f>
        <v>60</v>
      </c>
      <c r="N3" s="3">
        <f t="shared" ref="N3:N44" si="3">E3*7</f>
        <v>84</v>
      </c>
      <c r="O3" s="8">
        <f>N3</f>
        <v>84</v>
      </c>
      <c r="P3" s="4">
        <f t="shared" ref="P3:P44" si="4">E3*14</f>
        <v>168</v>
      </c>
      <c r="Q3" s="8">
        <f>P3</f>
        <v>168</v>
      </c>
      <c r="R3" s="4">
        <f t="shared" ref="R3:R44" si="5">E3 * 30</f>
        <v>360</v>
      </c>
      <c r="S3" s="8"/>
    </row>
    <row r="4" spans="1:19">
      <c r="A4" s="68"/>
      <c r="B4" s="65"/>
      <c r="C4" s="3" t="s">
        <v>9</v>
      </c>
      <c r="D4" s="3" t="s">
        <v>66</v>
      </c>
      <c r="E4" s="3">
        <v>12</v>
      </c>
      <c r="F4" s="3">
        <v>120</v>
      </c>
      <c r="G4" s="3">
        <f t="shared" si="0"/>
        <v>360</v>
      </c>
      <c r="H4" s="4">
        <v>0</v>
      </c>
      <c r="I4" s="3">
        <v>0</v>
      </c>
      <c r="J4" s="3">
        <f t="shared" si="1"/>
        <v>36</v>
      </c>
      <c r="K4" s="8">
        <f t="shared" ref="K4:K44" si="6">J4</f>
        <v>36</v>
      </c>
      <c r="L4" s="3">
        <f t="shared" si="2"/>
        <v>60</v>
      </c>
      <c r="M4" s="9">
        <f t="shared" ref="M4:M44" si="7">L4</f>
        <v>60</v>
      </c>
      <c r="N4" s="3">
        <f t="shared" si="3"/>
        <v>84</v>
      </c>
      <c r="O4" s="8">
        <f t="shared" ref="O4:O44" si="8">N4</f>
        <v>84</v>
      </c>
      <c r="P4" s="4">
        <f t="shared" si="4"/>
        <v>168</v>
      </c>
      <c r="Q4" s="8">
        <f t="shared" ref="Q4:Q44" si="9">P4</f>
        <v>168</v>
      </c>
      <c r="R4" s="4">
        <f t="shared" si="5"/>
        <v>360</v>
      </c>
      <c r="S4" s="8"/>
    </row>
    <row r="5" spans="1:19">
      <c r="A5" s="68"/>
      <c r="B5" s="65"/>
      <c r="C5" s="3" t="s">
        <v>13</v>
      </c>
      <c r="D5" s="3" t="s">
        <v>66</v>
      </c>
      <c r="E5" s="3">
        <v>3</v>
      </c>
      <c r="F5" s="3">
        <v>30</v>
      </c>
      <c r="G5" s="3">
        <f t="shared" si="0"/>
        <v>90</v>
      </c>
      <c r="H5" s="4">
        <v>0</v>
      </c>
      <c r="I5" s="3">
        <v>0</v>
      </c>
      <c r="J5" s="3">
        <f t="shared" si="1"/>
        <v>9</v>
      </c>
      <c r="K5" s="8">
        <f t="shared" si="6"/>
        <v>9</v>
      </c>
      <c r="L5" s="3">
        <f t="shared" si="2"/>
        <v>15</v>
      </c>
      <c r="M5" s="9">
        <f t="shared" si="7"/>
        <v>15</v>
      </c>
      <c r="N5" s="3">
        <f t="shared" si="3"/>
        <v>21</v>
      </c>
      <c r="O5" s="8">
        <f t="shared" si="8"/>
        <v>21</v>
      </c>
      <c r="P5" s="4">
        <f t="shared" si="4"/>
        <v>42</v>
      </c>
      <c r="Q5" s="8">
        <f t="shared" si="9"/>
        <v>42</v>
      </c>
      <c r="R5" s="4">
        <f t="shared" si="5"/>
        <v>90</v>
      </c>
      <c r="S5" s="8"/>
    </row>
    <row r="6" spans="1:19">
      <c r="A6" s="68"/>
      <c r="B6" s="65"/>
      <c r="C6" s="3" t="s">
        <v>15</v>
      </c>
      <c r="D6" s="7">
        <v>24</v>
      </c>
      <c r="E6" s="3">
        <v>8</v>
      </c>
      <c r="F6" s="7">
        <v>48</v>
      </c>
      <c r="G6" s="3">
        <f t="shared" si="0"/>
        <v>240</v>
      </c>
      <c r="H6" s="4">
        <v>0</v>
      </c>
      <c r="I6" s="3">
        <v>0</v>
      </c>
      <c r="J6" s="3">
        <f t="shared" si="1"/>
        <v>24</v>
      </c>
      <c r="K6" s="8">
        <f t="shared" si="6"/>
        <v>24</v>
      </c>
      <c r="L6" s="3">
        <f t="shared" si="2"/>
        <v>40</v>
      </c>
      <c r="M6" s="9">
        <f t="shared" si="7"/>
        <v>40</v>
      </c>
      <c r="N6" s="3">
        <f t="shared" si="3"/>
        <v>56</v>
      </c>
      <c r="O6" s="8">
        <f t="shared" si="8"/>
        <v>56</v>
      </c>
      <c r="P6" s="4">
        <f t="shared" si="4"/>
        <v>112</v>
      </c>
      <c r="Q6" s="8">
        <f t="shared" si="9"/>
        <v>112</v>
      </c>
      <c r="R6" s="4">
        <f t="shared" si="5"/>
        <v>240</v>
      </c>
      <c r="S6" s="8"/>
    </row>
    <row r="7" spans="1:19">
      <c r="A7" s="68"/>
      <c r="B7" s="65"/>
      <c r="C7" s="3" t="s">
        <v>16</v>
      </c>
      <c r="D7" s="7">
        <v>15</v>
      </c>
      <c r="E7" s="3">
        <v>3</v>
      </c>
      <c r="F7" s="7">
        <v>18</v>
      </c>
      <c r="G7" s="3">
        <f t="shared" si="0"/>
        <v>90</v>
      </c>
      <c r="H7" s="4">
        <v>0</v>
      </c>
      <c r="I7" s="3">
        <v>0</v>
      </c>
      <c r="J7" s="3">
        <f t="shared" si="1"/>
        <v>9</v>
      </c>
      <c r="K7" s="8">
        <f t="shared" si="6"/>
        <v>9</v>
      </c>
      <c r="L7" s="3">
        <f t="shared" si="2"/>
        <v>15</v>
      </c>
      <c r="M7" s="9">
        <f t="shared" si="7"/>
        <v>15</v>
      </c>
      <c r="N7" s="3">
        <f t="shared" si="3"/>
        <v>21</v>
      </c>
      <c r="O7" s="8">
        <f t="shared" si="8"/>
        <v>21</v>
      </c>
      <c r="P7" s="4">
        <f t="shared" si="4"/>
        <v>42</v>
      </c>
      <c r="Q7" s="8">
        <f t="shared" si="9"/>
        <v>42</v>
      </c>
      <c r="R7" s="4">
        <f t="shared" si="5"/>
        <v>90</v>
      </c>
      <c r="S7" s="8"/>
    </row>
    <row r="8" spans="1:19">
      <c r="A8" s="68"/>
      <c r="B8" s="65" t="s">
        <v>67</v>
      </c>
      <c r="C8" s="3" t="s">
        <v>17</v>
      </c>
      <c r="D8" s="3">
        <v>40</v>
      </c>
      <c r="E8" s="3">
        <v>10</v>
      </c>
      <c r="F8" s="7">
        <v>60</v>
      </c>
      <c r="G8" s="3">
        <f t="shared" si="0"/>
        <v>300</v>
      </c>
      <c r="H8" s="4">
        <v>0</v>
      </c>
      <c r="I8" s="3">
        <v>0</v>
      </c>
      <c r="J8" s="3">
        <f t="shared" si="1"/>
        <v>30</v>
      </c>
      <c r="K8" s="8">
        <f t="shared" si="6"/>
        <v>30</v>
      </c>
      <c r="L8" s="3">
        <f t="shared" si="2"/>
        <v>50</v>
      </c>
      <c r="M8" s="9">
        <f t="shared" si="7"/>
        <v>50</v>
      </c>
      <c r="N8" s="3">
        <f t="shared" si="3"/>
        <v>70</v>
      </c>
      <c r="O8" s="8">
        <f t="shared" si="8"/>
        <v>70</v>
      </c>
      <c r="P8" s="4">
        <f t="shared" si="4"/>
        <v>140</v>
      </c>
      <c r="Q8" s="8">
        <f t="shared" si="9"/>
        <v>140</v>
      </c>
      <c r="R8" s="4">
        <f t="shared" si="5"/>
        <v>300</v>
      </c>
      <c r="S8" s="8"/>
    </row>
    <row r="9" spans="1:19">
      <c r="A9" s="68"/>
      <c r="B9" s="65"/>
      <c r="C9" s="3" t="s">
        <v>9</v>
      </c>
      <c r="D9" s="3" t="s">
        <v>66</v>
      </c>
      <c r="E9" s="3">
        <v>10</v>
      </c>
      <c r="F9" s="7">
        <v>100</v>
      </c>
      <c r="G9" s="3">
        <f t="shared" si="0"/>
        <v>300</v>
      </c>
      <c r="H9" s="4">
        <v>0</v>
      </c>
      <c r="I9" s="3">
        <v>0</v>
      </c>
      <c r="J9" s="3">
        <f t="shared" si="1"/>
        <v>30</v>
      </c>
      <c r="K9" s="8">
        <f t="shared" si="6"/>
        <v>30</v>
      </c>
      <c r="L9" s="3">
        <f t="shared" si="2"/>
        <v>50</v>
      </c>
      <c r="M9" s="9">
        <f t="shared" si="7"/>
        <v>50</v>
      </c>
      <c r="N9" s="3">
        <f t="shared" si="3"/>
        <v>70</v>
      </c>
      <c r="O9" s="8">
        <f t="shared" si="8"/>
        <v>70</v>
      </c>
      <c r="P9" s="4">
        <f t="shared" si="4"/>
        <v>140</v>
      </c>
      <c r="Q9" s="8">
        <f t="shared" si="9"/>
        <v>140</v>
      </c>
      <c r="R9" s="4">
        <f t="shared" si="5"/>
        <v>300</v>
      </c>
      <c r="S9" s="8"/>
    </row>
    <row r="10" spans="1:19">
      <c r="A10" s="68"/>
      <c r="B10" s="65"/>
      <c r="C10" s="3" t="s">
        <v>18</v>
      </c>
      <c r="D10" s="7">
        <v>16</v>
      </c>
      <c r="E10" s="3">
        <v>4</v>
      </c>
      <c r="F10" s="7">
        <v>24</v>
      </c>
      <c r="G10" s="3">
        <f t="shared" si="0"/>
        <v>120</v>
      </c>
      <c r="H10" s="4">
        <v>0</v>
      </c>
      <c r="I10" s="3">
        <v>0</v>
      </c>
      <c r="J10" s="3">
        <f t="shared" si="1"/>
        <v>12</v>
      </c>
      <c r="K10" s="8">
        <f t="shared" si="6"/>
        <v>12</v>
      </c>
      <c r="L10" s="3">
        <f t="shared" si="2"/>
        <v>20</v>
      </c>
      <c r="M10" s="9">
        <f t="shared" si="7"/>
        <v>20</v>
      </c>
      <c r="N10" s="3">
        <f t="shared" si="3"/>
        <v>28</v>
      </c>
      <c r="O10" s="8">
        <f t="shared" si="8"/>
        <v>28</v>
      </c>
      <c r="P10" s="4">
        <f t="shared" si="4"/>
        <v>56</v>
      </c>
      <c r="Q10" s="8">
        <f t="shared" si="9"/>
        <v>56</v>
      </c>
      <c r="R10" s="4">
        <f t="shared" si="5"/>
        <v>120</v>
      </c>
      <c r="S10" s="8"/>
    </row>
    <row r="11" spans="1:19">
      <c r="A11" s="68"/>
      <c r="B11" s="65"/>
      <c r="C11" s="3" t="s">
        <v>19</v>
      </c>
      <c r="D11" s="3" t="s">
        <v>66</v>
      </c>
      <c r="E11" s="3">
        <v>5</v>
      </c>
      <c r="F11" s="7">
        <v>50</v>
      </c>
      <c r="G11" s="3">
        <f t="shared" si="0"/>
        <v>150</v>
      </c>
      <c r="H11" s="4">
        <v>0</v>
      </c>
      <c r="I11" s="3">
        <v>0</v>
      </c>
      <c r="J11" s="3">
        <f t="shared" si="1"/>
        <v>15</v>
      </c>
      <c r="K11" s="8">
        <f t="shared" si="6"/>
        <v>15</v>
      </c>
      <c r="L11" s="3">
        <f t="shared" si="2"/>
        <v>25</v>
      </c>
      <c r="M11" s="9">
        <f t="shared" si="7"/>
        <v>25</v>
      </c>
      <c r="N11" s="3">
        <f t="shared" si="3"/>
        <v>35</v>
      </c>
      <c r="O11" s="8">
        <f t="shared" si="8"/>
        <v>35</v>
      </c>
      <c r="P11" s="4">
        <f t="shared" si="4"/>
        <v>70</v>
      </c>
      <c r="Q11" s="8">
        <f t="shared" si="9"/>
        <v>70</v>
      </c>
      <c r="R11" s="4">
        <f t="shared" si="5"/>
        <v>150</v>
      </c>
      <c r="S11" s="8"/>
    </row>
    <row r="12" spans="1:19">
      <c r="A12" s="68"/>
      <c r="B12" s="65"/>
      <c r="C12" s="3" t="s">
        <v>20</v>
      </c>
      <c r="D12" s="7">
        <v>21</v>
      </c>
      <c r="E12" s="3">
        <v>3</v>
      </c>
      <c r="F12" s="7">
        <v>18</v>
      </c>
      <c r="G12" s="3">
        <f t="shared" si="0"/>
        <v>90</v>
      </c>
      <c r="H12" s="4">
        <v>0</v>
      </c>
      <c r="I12" s="3">
        <v>0</v>
      </c>
      <c r="J12" s="3">
        <f t="shared" si="1"/>
        <v>9</v>
      </c>
      <c r="K12" s="8">
        <f t="shared" si="6"/>
        <v>9</v>
      </c>
      <c r="L12" s="3">
        <f t="shared" si="2"/>
        <v>15</v>
      </c>
      <c r="M12" s="9">
        <f t="shared" si="7"/>
        <v>15</v>
      </c>
      <c r="N12" s="3">
        <f t="shared" si="3"/>
        <v>21</v>
      </c>
      <c r="O12" s="8">
        <f t="shared" si="8"/>
        <v>21</v>
      </c>
      <c r="P12" s="4">
        <f t="shared" si="4"/>
        <v>42</v>
      </c>
      <c r="Q12" s="8">
        <f t="shared" si="9"/>
        <v>42</v>
      </c>
      <c r="R12" s="4">
        <f t="shared" si="5"/>
        <v>90</v>
      </c>
      <c r="S12" s="8"/>
    </row>
    <row r="13" spans="1:19">
      <c r="A13" s="68"/>
      <c r="B13" s="65"/>
      <c r="C13" s="3" t="s">
        <v>21</v>
      </c>
      <c r="D13" s="7">
        <v>24</v>
      </c>
      <c r="E13" s="3">
        <v>8</v>
      </c>
      <c r="F13" s="7">
        <v>48</v>
      </c>
      <c r="G13" s="3">
        <f t="shared" si="0"/>
        <v>240</v>
      </c>
      <c r="H13" s="4">
        <v>0</v>
      </c>
      <c r="I13" s="3">
        <v>0</v>
      </c>
      <c r="J13" s="3">
        <f t="shared" si="1"/>
        <v>24</v>
      </c>
      <c r="K13" s="8">
        <f t="shared" si="6"/>
        <v>24</v>
      </c>
      <c r="L13" s="3">
        <f t="shared" si="2"/>
        <v>40</v>
      </c>
      <c r="M13" s="9">
        <f t="shared" si="7"/>
        <v>40</v>
      </c>
      <c r="N13" s="3">
        <f t="shared" si="3"/>
        <v>56</v>
      </c>
      <c r="O13" s="8">
        <f t="shared" si="8"/>
        <v>56</v>
      </c>
      <c r="P13" s="4">
        <f t="shared" si="4"/>
        <v>112</v>
      </c>
      <c r="Q13" s="8">
        <f t="shared" si="9"/>
        <v>112</v>
      </c>
      <c r="R13" s="4">
        <f t="shared" si="5"/>
        <v>240</v>
      </c>
      <c r="S13" s="8"/>
    </row>
    <row r="14" spans="1:19">
      <c r="A14" s="68"/>
      <c r="B14" s="65" t="s">
        <v>68</v>
      </c>
      <c r="C14" s="3" t="s">
        <v>22</v>
      </c>
      <c r="D14" s="3" t="s">
        <v>66</v>
      </c>
      <c r="E14" s="3">
        <v>8</v>
      </c>
      <c r="F14" s="7">
        <v>80</v>
      </c>
      <c r="G14" s="3">
        <f t="shared" si="0"/>
        <v>240</v>
      </c>
      <c r="H14" s="4">
        <v>0</v>
      </c>
      <c r="I14" s="3">
        <v>0</v>
      </c>
      <c r="J14" s="3">
        <f t="shared" si="1"/>
        <v>24</v>
      </c>
      <c r="K14" s="8">
        <f t="shared" si="6"/>
        <v>24</v>
      </c>
      <c r="L14" s="3">
        <f t="shared" si="2"/>
        <v>40</v>
      </c>
      <c r="M14" s="9">
        <f t="shared" si="7"/>
        <v>40</v>
      </c>
      <c r="N14" s="3">
        <f t="shared" si="3"/>
        <v>56</v>
      </c>
      <c r="O14" s="8">
        <f t="shared" si="8"/>
        <v>56</v>
      </c>
      <c r="P14" s="4">
        <f t="shared" si="4"/>
        <v>112</v>
      </c>
      <c r="Q14" s="8">
        <f t="shared" si="9"/>
        <v>112</v>
      </c>
      <c r="R14" s="4">
        <f t="shared" si="5"/>
        <v>240</v>
      </c>
      <c r="S14" s="8"/>
    </row>
    <row r="15" spans="1:19">
      <c r="A15" s="68"/>
      <c r="B15" s="65"/>
      <c r="C15" s="3" t="s">
        <v>9</v>
      </c>
      <c r="D15" s="3" t="s">
        <v>66</v>
      </c>
      <c r="E15" s="3">
        <v>7</v>
      </c>
      <c r="F15" s="7">
        <v>70</v>
      </c>
      <c r="G15" s="3">
        <f t="shared" si="0"/>
        <v>210</v>
      </c>
      <c r="H15" s="4">
        <v>0</v>
      </c>
      <c r="I15" s="3">
        <v>0</v>
      </c>
      <c r="J15" s="3">
        <f t="shared" si="1"/>
        <v>21</v>
      </c>
      <c r="K15" s="8">
        <f t="shared" si="6"/>
        <v>21</v>
      </c>
      <c r="L15" s="3">
        <f t="shared" si="2"/>
        <v>35</v>
      </c>
      <c r="M15" s="9">
        <f t="shared" si="7"/>
        <v>35</v>
      </c>
      <c r="N15" s="3">
        <f t="shared" si="3"/>
        <v>49</v>
      </c>
      <c r="O15" s="8">
        <f t="shared" si="8"/>
        <v>49</v>
      </c>
      <c r="P15" s="4">
        <f t="shared" si="4"/>
        <v>98</v>
      </c>
      <c r="Q15" s="8">
        <f t="shared" si="9"/>
        <v>98</v>
      </c>
      <c r="R15" s="4">
        <f t="shared" si="5"/>
        <v>210</v>
      </c>
      <c r="S15" s="8"/>
    </row>
    <row r="16" spans="1:19">
      <c r="A16" s="68"/>
      <c r="B16" s="65"/>
      <c r="C16" s="3" t="s">
        <v>23</v>
      </c>
      <c r="D16" s="7">
        <v>25</v>
      </c>
      <c r="E16" s="3">
        <v>5</v>
      </c>
      <c r="F16" s="7">
        <v>30</v>
      </c>
      <c r="G16" s="3">
        <f t="shared" si="0"/>
        <v>150</v>
      </c>
      <c r="H16" s="4">
        <v>0</v>
      </c>
      <c r="I16" s="3">
        <v>0</v>
      </c>
      <c r="J16" s="3">
        <f t="shared" si="1"/>
        <v>15</v>
      </c>
      <c r="K16" s="8">
        <f t="shared" si="6"/>
        <v>15</v>
      </c>
      <c r="L16" s="3">
        <f t="shared" si="2"/>
        <v>25</v>
      </c>
      <c r="M16" s="9">
        <f t="shared" si="7"/>
        <v>25</v>
      </c>
      <c r="N16" s="3">
        <f t="shared" si="3"/>
        <v>35</v>
      </c>
      <c r="O16" s="8">
        <f t="shared" si="8"/>
        <v>35</v>
      </c>
      <c r="P16" s="4">
        <f t="shared" si="4"/>
        <v>70</v>
      </c>
      <c r="Q16" s="8">
        <f t="shared" si="9"/>
        <v>70</v>
      </c>
      <c r="R16" s="4">
        <f t="shared" si="5"/>
        <v>150</v>
      </c>
      <c r="S16" s="8"/>
    </row>
    <row r="17" spans="1:23">
      <c r="A17" s="68"/>
      <c r="B17" s="65"/>
      <c r="C17" s="3" t="s">
        <v>24</v>
      </c>
      <c r="D17" s="7">
        <v>16</v>
      </c>
      <c r="E17" s="3">
        <v>4</v>
      </c>
      <c r="F17" s="7">
        <v>24</v>
      </c>
      <c r="G17" s="3">
        <f t="shared" si="0"/>
        <v>120</v>
      </c>
      <c r="H17" s="4">
        <v>0</v>
      </c>
      <c r="I17" s="3">
        <v>0</v>
      </c>
      <c r="J17" s="3">
        <f t="shared" si="1"/>
        <v>12</v>
      </c>
      <c r="K17" s="8">
        <f t="shared" si="6"/>
        <v>12</v>
      </c>
      <c r="L17" s="3">
        <f t="shared" si="2"/>
        <v>20</v>
      </c>
      <c r="M17" s="9">
        <f t="shared" si="7"/>
        <v>20</v>
      </c>
      <c r="N17" s="3">
        <f t="shared" si="3"/>
        <v>28</v>
      </c>
      <c r="O17" s="8">
        <f t="shared" si="8"/>
        <v>28</v>
      </c>
      <c r="P17" s="4">
        <f t="shared" si="4"/>
        <v>56</v>
      </c>
      <c r="Q17" s="8">
        <f t="shared" si="9"/>
        <v>56</v>
      </c>
      <c r="R17" s="4">
        <f t="shared" si="5"/>
        <v>120</v>
      </c>
      <c r="S17" s="8"/>
    </row>
    <row r="18" spans="1:23">
      <c r="A18" s="68"/>
      <c r="B18" s="65"/>
      <c r="C18" s="3" t="s">
        <v>25</v>
      </c>
      <c r="D18" s="7">
        <v>30</v>
      </c>
      <c r="E18" s="3">
        <v>2</v>
      </c>
      <c r="F18" s="7">
        <v>12</v>
      </c>
      <c r="G18" s="3">
        <f t="shared" si="0"/>
        <v>60</v>
      </c>
      <c r="H18" s="4">
        <v>0</v>
      </c>
      <c r="I18" s="3">
        <v>0</v>
      </c>
      <c r="J18" s="3">
        <f t="shared" si="1"/>
        <v>6</v>
      </c>
      <c r="K18" s="8">
        <f t="shared" si="6"/>
        <v>6</v>
      </c>
      <c r="L18" s="3">
        <f t="shared" si="2"/>
        <v>10</v>
      </c>
      <c r="M18" s="9">
        <f t="shared" si="7"/>
        <v>10</v>
      </c>
      <c r="N18" s="3">
        <f t="shared" si="3"/>
        <v>14</v>
      </c>
      <c r="O18" s="8">
        <f t="shared" si="8"/>
        <v>14</v>
      </c>
      <c r="P18" s="4">
        <f t="shared" si="4"/>
        <v>28</v>
      </c>
      <c r="Q18" s="8">
        <f t="shared" si="9"/>
        <v>28</v>
      </c>
      <c r="R18" s="4">
        <f t="shared" si="5"/>
        <v>60</v>
      </c>
      <c r="S18" s="8"/>
    </row>
    <row r="19" spans="1:23">
      <c r="A19" s="68"/>
      <c r="B19" s="65" t="s">
        <v>69</v>
      </c>
      <c r="C19" s="3" t="s">
        <v>26</v>
      </c>
      <c r="D19" s="3" t="s">
        <v>66</v>
      </c>
      <c r="E19" s="3">
        <v>10</v>
      </c>
      <c r="F19" s="7">
        <v>100</v>
      </c>
      <c r="G19" s="3">
        <f t="shared" si="0"/>
        <v>300</v>
      </c>
      <c r="H19" s="4">
        <v>0</v>
      </c>
      <c r="I19" s="3">
        <v>0</v>
      </c>
      <c r="J19" s="3">
        <f t="shared" si="1"/>
        <v>30</v>
      </c>
      <c r="K19" s="8">
        <f t="shared" si="6"/>
        <v>30</v>
      </c>
      <c r="L19" s="3">
        <f t="shared" si="2"/>
        <v>50</v>
      </c>
      <c r="M19" s="9">
        <f t="shared" si="7"/>
        <v>50</v>
      </c>
      <c r="N19" s="3">
        <f t="shared" si="3"/>
        <v>70</v>
      </c>
      <c r="O19" s="8">
        <f t="shared" si="8"/>
        <v>70</v>
      </c>
      <c r="P19" s="4">
        <f t="shared" si="4"/>
        <v>140</v>
      </c>
      <c r="Q19" s="8">
        <f t="shared" si="9"/>
        <v>140</v>
      </c>
      <c r="R19" s="4">
        <f t="shared" si="5"/>
        <v>300</v>
      </c>
      <c r="S19" s="8"/>
    </row>
    <row r="20" spans="1:23" ht="15" thickBot="1">
      <c r="A20" s="68"/>
      <c r="B20" s="65"/>
      <c r="C20" s="3" t="s">
        <v>9</v>
      </c>
      <c r="D20" s="3" t="s">
        <v>66</v>
      </c>
      <c r="E20" s="3">
        <v>25</v>
      </c>
      <c r="F20" s="7">
        <v>250</v>
      </c>
      <c r="G20" s="3">
        <f t="shared" si="0"/>
        <v>750</v>
      </c>
      <c r="H20" s="4">
        <v>0</v>
      </c>
      <c r="I20" s="3">
        <v>0</v>
      </c>
      <c r="J20" s="3">
        <f t="shared" si="1"/>
        <v>75</v>
      </c>
      <c r="K20" s="8">
        <f t="shared" si="6"/>
        <v>75</v>
      </c>
      <c r="L20" s="3">
        <f t="shared" si="2"/>
        <v>125</v>
      </c>
      <c r="M20" s="9">
        <f t="shared" si="7"/>
        <v>125</v>
      </c>
      <c r="N20" s="3">
        <f t="shared" si="3"/>
        <v>175</v>
      </c>
      <c r="O20" s="8">
        <f t="shared" si="8"/>
        <v>175</v>
      </c>
      <c r="P20" s="4">
        <f t="shared" si="4"/>
        <v>350</v>
      </c>
      <c r="Q20" s="8">
        <f t="shared" si="9"/>
        <v>350</v>
      </c>
      <c r="R20" s="4">
        <f t="shared" si="5"/>
        <v>750</v>
      </c>
      <c r="S20" s="8"/>
    </row>
    <row r="21" spans="1:23" ht="15" thickBot="1">
      <c r="A21" s="68"/>
      <c r="B21" s="65"/>
      <c r="C21" s="3" t="s">
        <v>27</v>
      </c>
      <c r="D21" s="7">
        <v>36</v>
      </c>
      <c r="E21" s="3">
        <v>3</v>
      </c>
      <c r="F21" s="7">
        <v>18</v>
      </c>
      <c r="G21" s="3">
        <f t="shared" si="0"/>
        <v>90</v>
      </c>
      <c r="H21" s="4">
        <v>0</v>
      </c>
      <c r="I21" s="3">
        <v>0</v>
      </c>
      <c r="J21" s="3">
        <f t="shared" si="1"/>
        <v>9</v>
      </c>
      <c r="K21" s="8">
        <f t="shared" si="6"/>
        <v>9</v>
      </c>
      <c r="L21" s="3">
        <f t="shared" si="2"/>
        <v>15</v>
      </c>
      <c r="M21" s="9">
        <f t="shared" si="7"/>
        <v>15</v>
      </c>
      <c r="N21" s="3">
        <f t="shared" si="3"/>
        <v>21</v>
      </c>
      <c r="O21" s="8">
        <f t="shared" si="8"/>
        <v>21</v>
      </c>
      <c r="P21" s="4">
        <f t="shared" si="4"/>
        <v>42</v>
      </c>
      <c r="Q21" s="8">
        <f t="shared" si="9"/>
        <v>42</v>
      </c>
      <c r="R21" s="4">
        <f t="shared" si="5"/>
        <v>90</v>
      </c>
      <c r="S21" s="8"/>
      <c r="T21" s="16" t="s">
        <v>70</v>
      </c>
      <c r="U21" s="18" t="s">
        <v>71</v>
      </c>
      <c r="V21" s="21" t="s">
        <v>72</v>
      </c>
      <c r="W21" s="17" t="s">
        <v>73</v>
      </c>
    </row>
    <row r="22" spans="1:23" ht="15" thickTop="1">
      <c r="A22" s="68"/>
      <c r="B22" s="65"/>
      <c r="C22" s="3" t="s">
        <v>28</v>
      </c>
      <c r="D22" s="7">
        <v>36</v>
      </c>
      <c r="E22" s="3">
        <v>2</v>
      </c>
      <c r="F22" s="7">
        <v>12</v>
      </c>
      <c r="G22" s="3">
        <f t="shared" si="0"/>
        <v>60</v>
      </c>
      <c r="H22" s="4">
        <v>0</v>
      </c>
      <c r="I22" s="3">
        <v>0</v>
      </c>
      <c r="J22" s="3">
        <f t="shared" si="1"/>
        <v>6</v>
      </c>
      <c r="K22" s="8">
        <f t="shared" si="6"/>
        <v>6</v>
      </c>
      <c r="L22" s="3">
        <f t="shared" si="2"/>
        <v>10</v>
      </c>
      <c r="M22" s="9">
        <f t="shared" si="7"/>
        <v>10</v>
      </c>
      <c r="N22" s="3">
        <f t="shared" si="3"/>
        <v>14</v>
      </c>
      <c r="O22" s="8">
        <f t="shared" si="8"/>
        <v>14</v>
      </c>
      <c r="P22" s="4">
        <f t="shared" si="4"/>
        <v>28</v>
      </c>
      <c r="Q22" s="8">
        <f t="shared" si="9"/>
        <v>28</v>
      </c>
      <c r="R22" s="4">
        <f t="shared" si="5"/>
        <v>60</v>
      </c>
      <c r="S22" s="8"/>
      <c r="T22" s="12" t="s">
        <v>74</v>
      </c>
      <c r="U22" s="19">
        <v>0</v>
      </c>
      <c r="V22" s="22">
        <v>3</v>
      </c>
      <c r="W22" s="13">
        <v>1.6</v>
      </c>
    </row>
    <row r="23" spans="1:23">
      <c r="A23" s="69"/>
      <c r="B23" s="71"/>
      <c r="C23" s="5" t="s">
        <v>25</v>
      </c>
      <c r="D23" s="5">
        <v>60</v>
      </c>
      <c r="E23" s="5">
        <v>4</v>
      </c>
      <c r="F23" s="5">
        <v>24</v>
      </c>
      <c r="G23" s="5">
        <f t="shared" si="0"/>
        <v>120</v>
      </c>
      <c r="H23" s="10">
        <v>0</v>
      </c>
      <c r="I23" s="5">
        <v>0</v>
      </c>
      <c r="J23" s="5">
        <f t="shared" si="1"/>
        <v>12</v>
      </c>
      <c r="K23" s="45">
        <f t="shared" si="6"/>
        <v>12</v>
      </c>
      <c r="L23" s="5">
        <f t="shared" si="2"/>
        <v>20</v>
      </c>
      <c r="M23" s="46">
        <f t="shared" si="7"/>
        <v>20</v>
      </c>
      <c r="N23" s="5">
        <f t="shared" si="3"/>
        <v>28</v>
      </c>
      <c r="O23" s="45">
        <f t="shared" si="8"/>
        <v>28</v>
      </c>
      <c r="P23" s="10">
        <f t="shared" si="4"/>
        <v>56</v>
      </c>
      <c r="Q23" s="45">
        <f t="shared" si="9"/>
        <v>56</v>
      </c>
      <c r="R23" s="10">
        <f t="shared" si="5"/>
        <v>120</v>
      </c>
      <c r="S23" s="8"/>
      <c r="T23" s="12" t="s">
        <v>75</v>
      </c>
      <c r="U23" s="19">
        <v>3</v>
      </c>
      <c r="V23" s="22">
        <v>5</v>
      </c>
      <c r="W23" s="13">
        <v>1.2</v>
      </c>
    </row>
    <row r="24" spans="1:23">
      <c r="A24" s="70" t="s">
        <v>76</v>
      </c>
      <c r="B24" s="70" t="s">
        <v>65</v>
      </c>
      <c r="C24" s="6" t="s">
        <v>25</v>
      </c>
      <c r="D24" s="6"/>
      <c r="E24" s="6">
        <v>1</v>
      </c>
      <c r="F24" s="6">
        <v>6</v>
      </c>
      <c r="G24" s="6">
        <f t="shared" si="0"/>
        <v>30</v>
      </c>
      <c r="H24" s="11">
        <v>1</v>
      </c>
      <c r="I24" s="6">
        <f>H24</f>
        <v>1</v>
      </c>
      <c r="J24" s="6">
        <f t="shared" si="1"/>
        <v>3</v>
      </c>
      <c r="K24" s="47">
        <f t="shared" si="6"/>
        <v>3</v>
      </c>
      <c r="L24" s="6">
        <f t="shared" si="2"/>
        <v>5</v>
      </c>
      <c r="M24" s="48">
        <f t="shared" si="7"/>
        <v>5</v>
      </c>
      <c r="N24" s="6">
        <f t="shared" si="3"/>
        <v>7</v>
      </c>
      <c r="O24" s="47">
        <f t="shared" si="8"/>
        <v>7</v>
      </c>
      <c r="P24" s="6">
        <f t="shared" si="4"/>
        <v>14</v>
      </c>
      <c r="Q24" s="47">
        <f t="shared" si="9"/>
        <v>14</v>
      </c>
      <c r="R24" s="11">
        <f t="shared" si="5"/>
        <v>30</v>
      </c>
      <c r="S24" s="3"/>
      <c r="T24" s="12" t="s">
        <v>77</v>
      </c>
      <c r="U24" s="19">
        <v>5</v>
      </c>
      <c r="V24" s="22">
        <v>7</v>
      </c>
      <c r="W24" s="13">
        <v>1</v>
      </c>
    </row>
    <row r="25" spans="1:23">
      <c r="A25" s="65"/>
      <c r="B25" s="65"/>
      <c r="C25" s="3" t="s">
        <v>19</v>
      </c>
      <c r="D25" s="3"/>
      <c r="E25" s="3">
        <v>2</v>
      </c>
      <c r="F25" s="7">
        <v>12</v>
      </c>
      <c r="G25" s="3">
        <f t="shared" si="0"/>
        <v>60</v>
      </c>
      <c r="H25" s="4">
        <v>2</v>
      </c>
      <c r="I25" s="3">
        <f>H25</f>
        <v>2</v>
      </c>
      <c r="J25" s="3">
        <f t="shared" si="1"/>
        <v>6</v>
      </c>
      <c r="K25" s="8">
        <f t="shared" si="6"/>
        <v>6</v>
      </c>
      <c r="L25" s="3">
        <f t="shared" si="2"/>
        <v>10</v>
      </c>
      <c r="M25" s="9">
        <f t="shared" si="7"/>
        <v>10</v>
      </c>
      <c r="N25" s="3">
        <f t="shared" si="3"/>
        <v>14</v>
      </c>
      <c r="O25" s="8">
        <f t="shared" si="8"/>
        <v>14</v>
      </c>
      <c r="P25" s="3">
        <f t="shared" si="4"/>
        <v>28</v>
      </c>
      <c r="Q25" s="8">
        <f t="shared" si="9"/>
        <v>28</v>
      </c>
      <c r="R25" s="4">
        <f t="shared" si="5"/>
        <v>60</v>
      </c>
      <c r="S25" s="3"/>
      <c r="T25" s="12" t="s">
        <v>78</v>
      </c>
      <c r="U25" s="19">
        <v>7</v>
      </c>
      <c r="V25" s="22">
        <v>14</v>
      </c>
      <c r="W25" s="13">
        <v>0.8</v>
      </c>
    </row>
    <row r="26" spans="1:23" ht="15" thickBot="1">
      <c r="A26" s="65"/>
      <c r="B26" s="65"/>
      <c r="C26" s="3" t="s">
        <v>17</v>
      </c>
      <c r="D26" s="3"/>
      <c r="E26" s="3">
        <v>4</v>
      </c>
      <c r="F26" s="7">
        <v>24</v>
      </c>
      <c r="G26" s="3">
        <f t="shared" si="0"/>
        <v>120</v>
      </c>
      <c r="H26" s="4">
        <v>4</v>
      </c>
      <c r="I26" s="3">
        <f t="shared" ref="I26:I43" si="10">H26</f>
        <v>4</v>
      </c>
      <c r="J26" s="3">
        <f t="shared" si="1"/>
        <v>12</v>
      </c>
      <c r="K26" s="8">
        <f t="shared" si="6"/>
        <v>12</v>
      </c>
      <c r="L26" s="3">
        <f t="shared" si="2"/>
        <v>20</v>
      </c>
      <c r="M26" s="9">
        <f t="shared" si="7"/>
        <v>20</v>
      </c>
      <c r="N26" s="3">
        <f t="shared" si="3"/>
        <v>28</v>
      </c>
      <c r="O26" s="8">
        <f t="shared" si="8"/>
        <v>28</v>
      </c>
      <c r="P26" s="3">
        <f t="shared" si="4"/>
        <v>56</v>
      </c>
      <c r="Q26" s="8">
        <f t="shared" si="9"/>
        <v>56</v>
      </c>
      <c r="R26" s="4">
        <f t="shared" si="5"/>
        <v>120</v>
      </c>
      <c r="S26" s="3"/>
      <c r="T26" s="14" t="s">
        <v>79</v>
      </c>
      <c r="U26" s="20">
        <v>14</v>
      </c>
      <c r="V26" s="23">
        <v>30</v>
      </c>
      <c r="W26" s="15">
        <v>0.6</v>
      </c>
    </row>
    <row r="27" spans="1:23">
      <c r="A27" s="65"/>
      <c r="B27" s="65"/>
      <c r="C27" s="3" t="s">
        <v>24</v>
      </c>
      <c r="D27" s="3"/>
      <c r="E27" s="3">
        <v>1</v>
      </c>
      <c r="F27" s="7">
        <v>6</v>
      </c>
      <c r="G27" s="3">
        <f t="shared" si="0"/>
        <v>30</v>
      </c>
      <c r="H27" s="4">
        <v>1</v>
      </c>
      <c r="I27" s="3">
        <f t="shared" si="10"/>
        <v>1</v>
      </c>
      <c r="J27" s="3">
        <f t="shared" si="1"/>
        <v>3</v>
      </c>
      <c r="K27" s="8">
        <f t="shared" si="6"/>
        <v>3</v>
      </c>
      <c r="L27" s="3">
        <f t="shared" si="2"/>
        <v>5</v>
      </c>
      <c r="M27" s="9">
        <f t="shared" si="7"/>
        <v>5</v>
      </c>
      <c r="N27" s="3">
        <f t="shared" si="3"/>
        <v>7</v>
      </c>
      <c r="O27" s="8">
        <f t="shared" si="8"/>
        <v>7</v>
      </c>
      <c r="P27" s="3">
        <f t="shared" si="4"/>
        <v>14</v>
      </c>
      <c r="Q27" s="8">
        <f t="shared" si="9"/>
        <v>14</v>
      </c>
      <c r="R27" s="4">
        <f t="shared" si="5"/>
        <v>30</v>
      </c>
      <c r="S27" s="3"/>
    </row>
    <row r="28" spans="1:23">
      <c r="A28" s="65"/>
      <c r="B28" s="65"/>
      <c r="C28" s="3" t="s">
        <v>27</v>
      </c>
      <c r="D28" s="3"/>
      <c r="E28" s="3">
        <v>0.5</v>
      </c>
      <c r="F28" s="7">
        <v>3</v>
      </c>
      <c r="G28" s="3">
        <f t="shared" si="0"/>
        <v>15</v>
      </c>
      <c r="H28" s="4">
        <v>1</v>
      </c>
      <c r="I28" s="3">
        <f t="shared" si="10"/>
        <v>1</v>
      </c>
      <c r="J28" s="3">
        <f t="shared" si="1"/>
        <v>1.5</v>
      </c>
      <c r="K28" s="8">
        <f t="shared" si="6"/>
        <v>1.5</v>
      </c>
      <c r="L28" s="3">
        <f t="shared" si="2"/>
        <v>2.5</v>
      </c>
      <c r="M28" s="9">
        <f t="shared" si="7"/>
        <v>2.5</v>
      </c>
      <c r="N28" s="3">
        <f t="shared" si="3"/>
        <v>3.5</v>
      </c>
      <c r="O28" s="8">
        <f t="shared" si="8"/>
        <v>3.5</v>
      </c>
      <c r="P28" s="3">
        <f t="shared" si="4"/>
        <v>7</v>
      </c>
      <c r="Q28" s="8">
        <f t="shared" si="9"/>
        <v>7</v>
      </c>
      <c r="R28" s="4">
        <f t="shared" si="5"/>
        <v>15</v>
      </c>
      <c r="S28" s="3"/>
    </row>
    <row r="29" spans="1:23">
      <c r="A29" s="65"/>
      <c r="B29" s="65" t="s">
        <v>67</v>
      </c>
      <c r="C29" s="3" t="s">
        <v>16</v>
      </c>
      <c r="D29" s="3"/>
      <c r="E29" s="3">
        <v>1</v>
      </c>
      <c r="F29" s="7">
        <v>6</v>
      </c>
      <c r="G29" s="3">
        <f t="shared" si="0"/>
        <v>30</v>
      </c>
      <c r="H29" s="4">
        <v>1</v>
      </c>
      <c r="I29" s="3">
        <f t="shared" si="10"/>
        <v>1</v>
      </c>
      <c r="J29" s="3">
        <f t="shared" si="1"/>
        <v>3</v>
      </c>
      <c r="K29" s="8">
        <f t="shared" si="6"/>
        <v>3</v>
      </c>
      <c r="L29" s="3">
        <f t="shared" si="2"/>
        <v>5</v>
      </c>
      <c r="M29" s="9">
        <f t="shared" si="7"/>
        <v>5</v>
      </c>
      <c r="N29" s="3">
        <f t="shared" si="3"/>
        <v>7</v>
      </c>
      <c r="O29" s="8">
        <f t="shared" si="8"/>
        <v>7</v>
      </c>
      <c r="P29" s="3">
        <f t="shared" si="4"/>
        <v>14</v>
      </c>
      <c r="Q29" s="8">
        <f t="shared" si="9"/>
        <v>14</v>
      </c>
      <c r="R29" s="4">
        <f t="shared" si="5"/>
        <v>30</v>
      </c>
      <c r="S29" s="3"/>
    </row>
    <row r="30" spans="1:23">
      <c r="A30" s="65"/>
      <c r="B30" s="65"/>
      <c r="C30" s="3" t="s">
        <v>25</v>
      </c>
      <c r="D30" s="3"/>
      <c r="E30" s="3">
        <v>1</v>
      </c>
      <c r="F30" s="7">
        <v>6</v>
      </c>
      <c r="G30" s="3">
        <f t="shared" si="0"/>
        <v>30</v>
      </c>
      <c r="H30" s="4">
        <v>1</v>
      </c>
      <c r="I30" s="3">
        <f t="shared" si="10"/>
        <v>1</v>
      </c>
      <c r="J30" s="3">
        <f t="shared" si="1"/>
        <v>3</v>
      </c>
      <c r="K30" s="8">
        <f t="shared" si="6"/>
        <v>3</v>
      </c>
      <c r="L30" s="3">
        <f t="shared" si="2"/>
        <v>5</v>
      </c>
      <c r="M30" s="9">
        <f t="shared" si="7"/>
        <v>5</v>
      </c>
      <c r="N30" s="3">
        <f t="shared" si="3"/>
        <v>7</v>
      </c>
      <c r="O30" s="8">
        <f t="shared" si="8"/>
        <v>7</v>
      </c>
      <c r="P30" s="3">
        <f t="shared" si="4"/>
        <v>14</v>
      </c>
      <c r="Q30" s="8">
        <f t="shared" si="9"/>
        <v>14</v>
      </c>
      <c r="R30" s="4">
        <f t="shared" si="5"/>
        <v>30</v>
      </c>
      <c r="S30" s="3"/>
    </row>
    <row r="31" spans="1:23">
      <c r="A31" s="65"/>
      <c r="B31" s="65"/>
      <c r="C31" s="3" t="s">
        <v>24</v>
      </c>
      <c r="D31" s="3"/>
      <c r="E31" s="3">
        <v>1</v>
      </c>
      <c r="F31" s="7">
        <v>6</v>
      </c>
      <c r="G31" s="3">
        <f t="shared" si="0"/>
        <v>30</v>
      </c>
      <c r="H31" s="4">
        <v>1</v>
      </c>
      <c r="I31" s="3">
        <f t="shared" si="10"/>
        <v>1</v>
      </c>
      <c r="J31" s="3">
        <f t="shared" si="1"/>
        <v>3</v>
      </c>
      <c r="K31" s="8">
        <f t="shared" si="6"/>
        <v>3</v>
      </c>
      <c r="L31" s="3">
        <f t="shared" si="2"/>
        <v>5</v>
      </c>
      <c r="M31" s="9">
        <f t="shared" si="7"/>
        <v>5</v>
      </c>
      <c r="N31" s="3">
        <f t="shared" si="3"/>
        <v>7</v>
      </c>
      <c r="O31" s="8">
        <f t="shared" si="8"/>
        <v>7</v>
      </c>
      <c r="P31" s="3">
        <f t="shared" si="4"/>
        <v>14</v>
      </c>
      <c r="Q31" s="8">
        <f t="shared" si="9"/>
        <v>14</v>
      </c>
      <c r="R31" s="4">
        <f t="shared" si="5"/>
        <v>30</v>
      </c>
      <c r="S31" s="3"/>
    </row>
    <row r="32" spans="1:23">
      <c r="A32" s="65"/>
      <c r="B32" s="65"/>
      <c r="C32" s="3" t="s">
        <v>15</v>
      </c>
      <c r="D32" s="3"/>
      <c r="E32" s="3">
        <v>3</v>
      </c>
      <c r="F32" s="7">
        <v>18</v>
      </c>
      <c r="G32" s="3">
        <f t="shared" si="0"/>
        <v>90</v>
      </c>
      <c r="H32" s="4">
        <v>3</v>
      </c>
      <c r="I32" s="3">
        <f t="shared" si="10"/>
        <v>3</v>
      </c>
      <c r="J32" s="3">
        <f t="shared" si="1"/>
        <v>9</v>
      </c>
      <c r="K32" s="8">
        <f t="shared" si="6"/>
        <v>9</v>
      </c>
      <c r="L32" s="3">
        <f t="shared" si="2"/>
        <v>15</v>
      </c>
      <c r="M32" s="9">
        <f t="shared" si="7"/>
        <v>15</v>
      </c>
      <c r="N32" s="3">
        <f t="shared" si="3"/>
        <v>21</v>
      </c>
      <c r="O32" s="8">
        <f t="shared" si="8"/>
        <v>21</v>
      </c>
      <c r="P32" s="3">
        <f t="shared" si="4"/>
        <v>42</v>
      </c>
      <c r="Q32" s="8">
        <f t="shared" si="9"/>
        <v>42</v>
      </c>
      <c r="R32" s="4">
        <f t="shared" si="5"/>
        <v>90</v>
      </c>
      <c r="S32" s="3"/>
    </row>
    <row r="33" spans="1:25">
      <c r="A33" s="65"/>
      <c r="B33" s="65"/>
      <c r="C33" s="3" t="s">
        <v>28</v>
      </c>
      <c r="D33" s="3"/>
      <c r="E33" s="3">
        <v>0.5</v>
      </c>
      <c r="F33" s="7">
        <v>3</v>
      </c>
      <c r="G33" s="3">
        <f t="shared" si="0"/>
        <v>15</v>
      </c>
      <c r="H33" s="4">
        <v>1</v>
      </c>
      <c r="I33" s="3">
        <f t="shared" si="10"/>
        <v>1</v>
      </c>
      <c r="J33" s="3">
        <f t="shared" si="1"/>
        <v>1.5</v>
      </c>
      <c r="K33" s="8">
        <f t="shared" si="6"/>
        <v>1.5</v>
      </c>
      <c r="L33" s="3">
        <f t="shared" si="2"/>
        <v>2.5</v>
      </c>
      <c r="M33" s="9">
        <f t="shared" si="7"/>
        <v>2.5</v>
      </c>
      <c r="N33" s="3">
        <f t="shared" si="3"/>
        <v>3.5</v>
      </c>
      <c r="O33" s="8">
        <f t="shared" si="8"/>
        <v>3.5</v>
      </c>
      <c r="P33" s="3">
        <f t="shared" si="4"/>
        <v>7</v>
      </c>
      <c r="Q33" s="8">
        <f t="shared" si="9"/>
        <v>7</v>
      </c>
      <c r="R33" s="4">
        <f t="shared" si="5"/>
        <v>15</v>
      </c>
      <c r="S33" s="3"/>
    </row>
    <row r="34" spans="1:25">
      <c r="A34" s="65"/>
      <c r="B34" s="65" t="s">
        <v>68</v>
      </c>
      <c r="C34" s="3" t="s">
        <v>18</v>
      </c>
      <c r="D34" s="3"/>
      <c r="E34" s="3">
        <v>2</v>
      </c>
      <c r="F34" s="7">
        <v>12</v>
      </c>
      <c r="G34" s="3">
        <f t="shared" si="0"/>
        <v>60</v>
      </c>
      <c r="H34" s="4">
        <v>2</v>
      </c>
      <c r="I34" s="3">
        <f t="shared" si="10"/>
        <v>2</v>
      </c>
      <c r="J34" s="3">
        <f t="shared" si="1"/>
        <v>6</v>
      </c>
      <c r="K34" s="8">
        <f t="shared" si="6"/>
        <v>6</v>
      </c>
      <c r="L34" s="3">
        <f t="shared" si="2"/>
        <v>10</v>
      </c>
      <c r="M34" s="9">
        <f t="shared" si="7"/>
        <v>10</v>
      </c>
      <c r="N34" s="3">
        <f t="shared" si="3"/>
        <v>14</v>
      </c>
      <c r="O34" s="8">
        <f t="shared" si="8"/>
        <v>14</v>
      </c>
      <c r="P34" s="3">
        <f t="shared" si="4"/>
        <v>28</v>
      </c>
      <c r="Q34" s="8">
        <f t="shared" si="9"/>
        <v>28</v>
      </c>
      <c r="R34" s="4">
        <f t="shared" si="5"/>
        <v>60</v>
      </c>
      <c r="S34" s="3"/>
    </row>
    <row r="35" spans="1:25">
      <c r="A35" s="65"/>
      <c r="B35" s="65"/>
      <c r="C35" s="3" t="s">
        <v>19</v>
      </c>
      <c r="D35" s="3"/>
      <c r="E35" s="3">
        <v>2</v>
      </c>
      <c r="F35" s="7">
        <v>12</v>
      </c>
      <c r="G35" s="3">
        <f t="shared" si="0"/>
        <v>60</v>
      </c>
      <c r="H35" s="4">
        <v>2</v>
      </c>
      <c r="I35" s="3">
        <f t="shared" si="10"/>
        <v>2</v>
      </c>
      <c r="J35" s="3">
        <f t="shared" si="1"/>
        <v>6</v>
      </c>
      <c r="K35" s="8">
        <f t="shared" si="6"/>
        <v>6</v>
      </c>
      <c r="L35" s="3">
        <f t="shared" si="2"/>
        <v>10</v>
      </c>
      <c r="M35" s="9">
        <f t="shared" si="7"/>
        <v>10</v>
      </c>
      <c r="N35" s="3">
        <f t="shared" si="3"/>
        <v>14</v>
      </c>
      <c r="O35" s="8">
        <f t="shared" si="8"/>
        <v>14</v>
      </c>
      <c r="P35" s="3">
        <f t="shared" si="4"/>
        <v>28</v>
      </c>
      <c r="Q35" s="8">
        <f t="shared" si="9"/>
        <v>28</v>
      </c>
      <c r="R35" s="4">
        <f t="shared" si="5"/>
        <v>60</v>
      </c>
      <c r="S35" s="3"/>
    </row>
    <row r="36" spans="1:25">
      <c r="A36" s="65"/>
      <c r="B36" s="65"/>
      <c r="C36" s="3" t="s">
        <v>17</v>
      </c>
      <c r="D36" s="3"/>
      <c r="E36" s="3">
        <v>3</v>
      </c>
      <c r="F36" s="7">
        <v>18</v>
      </c>
      <c r="G36" s="3">
        <f t="shared" si="0"/>
        <v>90</v>
      </c>
      <c r="H36" s="4">
        <v>3</v>
      </c>
      <c r="I36" s="3">
        <f t="shared" si="10"/>
        <v>3</v>
      </c>
      <c r="J36" s="3">
        <f t="shared" si="1"/>
        <v>9</v>
      </c>
      <c r="K36" s="8">
        <f t="shared" si="6"/>
        <v>9</v>
      </c>
      <c r="L36" s="3">
        <f t="shared" si="2"/>
        <v>15</v>
      </c>
      <c r="M36" s="9">
        <f t="shared" si="7"/>
        <v>15</v>
      </c>
      <c r="N36" s="3">
        <f t="shared" si="3"/>
        <v>21</v>
      </c>
      <c r="O36" s="8">
        <f t="shared" si="8"/>
        <v>21</v>
      </c>
      <c r="P36" s="3">
        <f t="shared" si="4"/>
        <v>42</v>
      </c>
      <c r="Q36" s="8">
        <f t="shared" si="9"/>
        <v>42</v>
      </c>
      <c r="R36" s="4">
        <f t="shared" si="5"/>
        <v>90</v>
      </c>
      <c r="S36" s="3"/>
    </row>
    <row r="37" spans="1:25">
      <c r="A37" s="65"/>
      <c r="B37" s="65"/>
      <c r="C37" s="3" t="s">
        <v>20</v>
      </c>
      <c r="D37" s="3"/>
      <c r="E37" s="3">
        <v>1</v>
      </c>
      <c r="F37" s="7">
        <v>6</v>
      </c>
      <c r="G37" s="3">
        <f t="shared" si="0"/>
        <v>30</v>
      </c>
      <c r="H37" s="4">
        <v>1</v>
      </c>
      <c r="I37" s="3">
        <f t="shared" si="10"/>
        <v>1</v>
      </c>
      <c r="J37" s="3">
        <f t="shared" si="1"/>
        <v>3</v>
      </c>
      <c r="K37" s="8">
        <f t="shared" si="6"/>
        <v>3</v>
      </c>
      <c r="L37" s="3">
        <f t="shared" si="2"/>
        <v>5</v>
      </c>
      <c r="M37" s="9">
        <f t="shared" si="7"/>
        <v>5</v>
      </c>
      <c r="N37" s="3">
        <f t="shared" si="3"/>
        <v>7</v>
      </c>
      <c r="O37" s="8">
        <f t="shared" si="8"/>
        <v>7</v>
      </c>
      <c r="P37" s="3">
        <f t="shared" si="4"/>
        <v>14</v>
      </c>
      <c r="Q37" s="8">
        <f t="shared" si="9"/>
        <v>14</v>
      </c>
      <c r="R37" s="4">
        <f t="shared" si="5"/>
        <v>30</v>
      </c>
      <c r="S37" s="3"/>
    </row>
    <row r="38" spans="1:25">
      <c r="A38" s="65"/>
      <c r="B38" s="65"/>
      <c r="C38" s="3" t="s">
        <v>26</v>
      </c>
      <c r="D38" s="3"/>
      <c r="E38" s="3">
        <v>3</v>
      </c>
      <c r="F38" s="7">
        <v>18</v>
      </c>
      <c r="G38" s="3">
        <f t="shared" si="0"/>
        <v>90</v>
      </c>
      <c r="H38" s="4">
        <v>3</v>
      </c>
      <c r="I38" s="3">
        <f t="shared" si="10"/>
        <v>3</v>
      </c>
      <c r="J38" s="3">
        <f t="shared" si="1"/>
        <v>9</v>
      </c>
      <c r="K38" s="8">
        <f t="shared" si="6"/>
        <v>9</v>
      </c>
      <c r="L38" s="3">
        <f t="shared" si="2"/>
        <v>15</v>
      </c>
      <c r="M38" s="9">
        <f t="shared" si="7"/>
        <v>15</v>
      </c>
      <c r="N38" s="3">
        <f t="shared" si="3"/>
        <v>21</v>
      </c>
      <c r="O38" s="8">
        <f t="shared" si="8"/>
        <v>21</v>
      </c>
      <c r="P38" s="3">
        <f t="shared" si="4"/>
        <v>42</v>
      </c>
      <c r="Q38" s="8">
        <f t="shared" si="9"/>
        <v>42</v>
      </c>
      <c r="R38" s="4">
        <f t="shared" si="5"/>
        <v>90</v>
      </c>
      <c r="S38" s="3"/>
    </row>
    <row r="39" spans="1:25">
      <c r="A39" s="65"/>
      <c r="B39" s="65" t="s">
        <v>69</v>
      </c>
      <c r="C39" s="3" t="s">
        <v>11</v>
      </c>
      <c r="D39" s="3"/>
      <c r="E39" s="3">
        <v>8</v>
      </c>
      <c r="F39" s="7">
        <v>48</v>
      </c>
      <c r="G39" s="3">
        <f t="shared" si="0"/>
        <v>240</v>
      </c>
      <c r="H39" s="4">
        <v>8</v>
      </c>
      <c r="I39" s="3">
        <f t="shared" si="10"/>
        <v>8</v>
      </c>
      <c r="J39" s="3">
        <f t="shared" si="1"/>
        <v>24</v>
      </c>
      <c r="K39" s="8">
        <f t="shared" si="6"/>
        <v>24</v>
      </c>
      <c r="L39" s="3">
        <f t="shared" si="2"/>
        <v>40</v>
      </c>
      <c r="M39" s="9">
        <f t="shared" si="7"/>
        <v>40</v>
      </c>
      <c r="N39" s="3">
        <f t="shared" si="3"/>
        <v>56</v>
      </c>
      <c r="O39" s="8">
        <f t="shared" si="8"/>
        <v>56</v>
      </c>
      <c r="P39" s="3">
        <f t="shared" si="4"/>
        <v>112</v>
      </c>
      <c r="Q39" s="8">
        <f t="shared" si="9"/>
        <v>112</v>
      </c>
      <c r="R39" s="4">
        <f t="shared" si="5"/>
        <v>240</v>
      </c>
      <c r="S39" s="3"/>
    </row>
    <row r="40" spans="1:25">
      <c r="A40" s="65"/>
      <c r="B40" s="65"/>
      <c r="C40" s="3" t="s">
        <v>13</v>
      </c>
      <c r="D40" s="3"/>
      <c r="E40" s="3">
        <v>4</v>
      </c>
      <c r="F40" s="7">
        <v>24</v>
      </c>
      <c r="G40" s="3">
        <f t="shared" si="0"/>
        <v>120</v>
      </c>
      <c r="H40" s="4">
        <v>4</v>
      </c>
      <c r="I40" s="3">
        <f t="shared" si="10"/>
        <v>4</v>
      </c>
      <c r="J40" s="3">
        <f t="shared" si="1"/>
        <v>12</v>
      </c>
      <c r="K40" s="8">
        <f t="shared" si="6"/>
        <v>12</v>
      </c>
      <c r="L40" s="3">
        <f t="shared" si="2"/>
        <v>20</v>
      </c>
      <c r="M40" s="9">
        <f t="shared" si="7"/>
        <v>20</v>
      </c>
      <c r="N40" s="3">
        <f t="shared" si="3"/>
        <v>28</v>
      </c>
      <c r="O40" s="8">
        <f t="shared" si="8"/>
        <v>28</v>
      </c>
      <c r="P40" s="3">
        <f t="shared" si="4"/>
        <v>56</v>
      </c>
      <c r="Q40" s="8">
        <f t="shared" si="9"/>
        <v>56</v>
      </c>
      <c r="R40" s="4">
        <f t="shared" si="5"/>
        <v>120</v>
      </c>
      <c r="S40" s="3"/>
    </row>
    <row r="41" spans="1:25">
      <c r="A41" s="65"/>
      <c r="B41" s="65"/>
      <c r="C41" s="3" t="s">
        <v>16</v>
      </c>
      <c r="D41" s="3"/>
      <c r="E41" s="3">
        <v>3</v>
      </c>
      <c r="F41" s="7">
        <v>18</v>
      </c>
      <c r="G41" s="3">
        <f t="shared" si="0"/>
        <v>90</v>
      </c>
      <c r="H41" s="4">
        <v>3</v>
      </c>
      <c r="I41" s="3">
        <f t="shared" si="10"/>
        <v>3</v>
      </c>
      <c r="J41" s="3">
        <f t="shared" si="1"/>
        <v>9</v>
      </c>
      <c r="K41" s="8">
        <f t="shared" si="6"/>
        <v>9</v>
      </c>
      <c r="L41" s="3">
        <f t="shared" si="2"/>
        <v>15</v>
      </c>
      <c r="M41" s="9">
        <f t="shared" si="7"/>
        <v>15</v>
      </c>
      <c r="N41" s="3">
        <f t="shared" si="3"/>
        <v>21</v>
      </c>
      <c r="O41" s="8">
        <f t="shared" si="8"/>
        <v>21</v>
      </c>
      <c r="P41" s="3">
        <f t="shared" si="4"/>
        <v>42</v>
      </c>
      <c r="Q41" s="8">
        <f t="shared" si="9"/>
        <v>42</v>
      </c>
      <c r="R41" s="4">
        <f t="shared" si="5"/>
        <v>90</v>
      </c>
      <c r="S41" s="3"/>
    </row>
    <row r="42" spans="1:25">
      <c r="A42" s="65"/>
      <c r="B42" s="65"/>
      <c r="C42" s="3" t="s">
        <v>22</v>
      </c>
      <c r="D42" s="3"/>
      <c r="E42" s="3">
        <v>4</v>
      </c>
      <c r="F42" s="7">
        <v>24</v>
      </c>
      <c r="G42" s="3">
        <f t="shared" si="0"/>
        <v>120</v>
      </c>
      <c r="H42" s="4">
        <v>4</v>
      </c>
      <c r="I42" s="3">
        <f t="shared" si="10"/>
        <v>4</v>
      </c>
      <c r="J42" s="3">
        <f t="shared" si="1"/>
        <v>12</v>
      </c>
      <c r="K42" s="8">
        <f t="shared" si="6"/>
        <v>12</v>
      </c>
      <c r="L42" s="3">
        <f t="shared" si="2"/>
        <v>20</v>
      </c>
      <c r="M42" s="9">
        <f t="shared" si="7"/>
        <v>20</v>
      </c>
      <c r="N42" s="3">
        <f t="shared" si="3"/>
        <v>28</v>
      </c>
      <c r="O42" s="8">
        <f t="shared" si="8"/>
        <v>28</v>
      </c>
      <c r="P42" s="3">
        <f t="shared" si="4"/>
        <v>56</v>
      </c>
      <c r="Q42" s="8">
        <f t="shared" si="9"/>
        <v>56</v>
      </c>
      <c r="R42" s="4">
        <f t="shared" si="5"/>
        <v>120</v>
      </c>
      <c r="S42" s="3"/>
    </row>
    <row r="43" spans="1:25">
      <c r="A43" s="65"/>
      <c r="B43" s="65"/>
      <c r="C43" s="3" t="s">
        <v>21</v>
      </c>
      <c r="D43" s="3"/>
      <c r="E43" s="3">
        <v>6</v>
      </c>
      <c r="F43" s="7">
        <v>36</v>
      </c>
      <c r="G43" s="3">
        <f t="shared" si="0"/>
        <v>180</v>
      </c>
      <c r="H43" s="4">
        <v>6</v>
      </c>
      <c r="I43" s="3">
        <f t="shared" si="10"/>
        <v>6</v>
      </c>
      <c r="J43" s="3">
        <f t="shared" si="1"/>
        <v>18</v>
      </c>
      <c r="K43" s="8">
        <f t="shared" si="6"/>
        <v>18</v>
      </c>
      <c r="L43" s="3">
        <f t="shared" si="2"/>
        <v>30</v>
      </c>
      <c r="M43" s="9">
        <f t="shared" si="7"/>
        <v>30</v>
      </c>
      <c r="N43" s="3">
        <f t="shared" si="3"/>
        <v>42</v>
      </c>
      <c r="O43" s="8">
        <f t="shared" si="8"/>
        <v>42</v>
      </c>
      <c r="P43" s="3">
        <f t="shared" si="4"/>
        <v>84</v>
      </c>
      <c r="Q43" s="8">
        <f t="shared" si="9"/>
        <v>84</v>
      </c>
      <c r="R43" s="4">
        <f t="shared" si="5"/>
        <v>180</v>
      </c>
      <c r="S43" s="3"/>
    </row>
    <row r="44" spans="1:25">
      <c r="A44" s="71"/>
      <c r="B44" s="71"/>
      <c r="C44" s="5" t="s">
        <v>23</v>
      </c>
      <c r="D44" s="5"/>
      <c r="E44" s="5">
        <v>3</v>
      </c>
      <c r="F44" s="5">
        <v>18</v>
      </c>
      <c r="G44" s="5">
        <f t="shared" si="0"/>
        <v>90</v>
      </c>
      <c r="H44" s="10">
        <v>3</v>
      </c>
      <c r="I44" s="5">
        <f>H44</f>
        <v>3</v>
      </c>
      <c r="J44" s="5">
        <f t="shared" si="1"/>
        <v>9</v>
      </c>
      <c r="K44" s="45">
        <f t="shared" si="6"/>
        <v>9</v>
      </c>
      <c r="L44" s="5">
        <f t="shared" si="2"/>
        <v>15</v>
      </c>
      <c r="M44" s="46">
        <f t="shared" si="7"/>
        <v>15</v>
      </c>
      <c r="N44" s="5">
        <f t="shared" si="3"/>
        <v>21</v>
      </c>
      <c r="O44" s="45">
        <f t="shared" si="8"/>
        <v>21</v>
      </c>
      <c r="P44" s="5">
        <f t="shared" si="4"/>
        <v>42</v>
      </c>
      <c r="Q44" s="45">
        <f t="shared" si="9"/>
        <v>42</v>
      </c>
      <c r="R44" s="10">
        <f t="shared" si="5"/>
        <v>90</v>
      </c>
      <c r="S44" s="3"/>
    </row>
    <row r="46" spans="1: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</sheetData>
  <mergeCells count="15">
    <mergeCell ref="K1:L1"/>
    <mergeCell ref="M1:N1"/>
    <mergeCell ref="O1:P1"/>
    <mergeCell ref="Q1:R1"/>
    <mergeCell ref="I1:J1"/>
    <mergeCell ref="A3:A23"/>
    <mergeCell ref="A24:A44"/>
    <mergeCell ref="B3:B7"/>
    <mergeCell ref="B8:B13"/>
    <mergeCell ref="B14:B18"/>
    <mergeCell ref="B19:B23"/>
    <mergeCell ref="B24:B28"/>
    <mergeCell ref="B29:B33"/>
    <mergeCell ref="B34:B38"/>
    <mergeCell ref="B39:B4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4EFA-6199-4CCC-9580-67D0DEDEA007}">
  <dimension ref="A1:G21"/>
  <sheetViews>
    <sheetView zoomScale="190" zoomScaleNormal="190" workbookViewId="0">
      <selection activeCell="G17" sqref="G17"/>
    </sheetView>
  </sheetViews>
  <sheetFormatPr defaultColWidth="19.54296875" defaultRowHeight="14.5"/>
  <cols>
    <col min="3" max="3" width="22.453125" customWidth="1"/>
  </cols>
  <sheetData>
    <row r="1" spans="1:7" ht="15" thickBot="1">
      <c r="D1" t="s">
        <v>65</v>
      </c>
      <c r="E1" t="s">
        <v>67</v>
      </c>
      <c r="F1" t="s">
        <v>68</v>
      </c>
      <c r="G1" t="s">
        <v>69</v>
      </c>
    </row>
    <row r="2" spans="1:7">
      <c r="A2" s="35" t="s">
        <v>80</v>
      </c>
      <c r="B2" s="36">
        <v>1</v>
      </c>
      <c r="C2" s="36" t="s">
        <v>81</v>
      </c>
      <c r="D2" s="38" t="s">
        <v>82</v>
      </c>
      <c r="E2" s="38"/>
      <c r="F2" s="38"/>
      <c r="G2" s="39"/>
    </row>
    <row r="3" spans="1:7">
      <c r="A3" s="12"/>
      <c r="B3" s="31">
        <v>2</v>
      </c>
      <c r="C3" s="31" t="s">
        <v>83</v>
      </c>
      <c r="D3" s="3"/>
      <c r="E3" s="3"/>
      <c r="F3" s="3"/>
      <c r="G3" s="40" t="s">
        <v>84</v>
      </c>
    </row>
    <row r="4" spans="1:7">
      <c r="A4" s="12"/>
      <c r="B4" s="31">
        <v>3</v>
      </c>
      <c r="C4" s="31" t="s">
        <v>85</v>
      </c>
      <c r="D4" s="3"/>
      <c r="E4" s="3" t="s">
        <v>84</v>
      </c>
      <c r="F4" s="3"/>
      <c r="G4" s="40"/>
    </row>
    <row r="5" spans="1:7">
      <c r="A5" s="12"/>
      <c r="B5" s="31">
        <v>4</v>
      </c>
      <c r="C5" s="31" t="s">
        <v>86</v>
      </c>
      <c r="D5" s="3"/>
      <c r="E5" s="3"/>
      <c r="F5" s="3" t="s">
        <v>84</v>
      </c>
      <c r="G5" s="40"/>
    </row>
    <row r="6" spans="1:7" ht="15" thickBot="1">
      <c r="A6" s="12"/>
      <c r="B6" s="31">
        <v>5</v>
      </c>
      <c r="C6" s="31" t="s">
        <v>87</v>
      </c>
      <c r="D6" s="7" t="s">
        <v>84</v>
      </c>
      <c r="E6" s="3"/>
      <c r="F6" s="3"/>
      <c r="G6" s="40"/>
    </row>
    <row r="7" spans="1:7">
      <c r="A7" s="35" t="s">
        <v>88</v>
      </c>
      <c r="B7" s="36">
        <v>1</v>
      </c>
      <c r="C7" s="36" t="s">
        <v>89</v>
      </c>
      <c r="D7" s="38"/>
      <c r="E7" s="38" t="s">
        <v>90</v>
      </c>
      <c r="F7" s="38"/>
      <c r="G7" s="39"/>
    </row>
    <row r="8" spans="1:7">
      <c r="A8" s="12"/>
      <c r="B8" s="31">
        <v>2</v>
      </c>
      <c r="C8" s="31" t="s">
        <v>91</v>
      </c>
      <c r="D8" s="3" t="s">
        <v>84</v>
      </c>
      <c r="E8" s="3"/>
      <c r="F8" s="3"/>
      <c r="G8" s="40"/>
    </row>
    <row r="9" spans="1:7">
      <c r="A9" s="12"/>
      <c r="B9" s="31">
        <v>3</v>
      </c>
      <c r="C9" s="31" t="s">
        <v>92</v>
      </c>
      <c r="D9" s="3"/>
      <c r="E9" s="3"/>
      <c r="F9" s="3" t="s">
        <v>84</v>
      </c>
      <c r="G9" s="40"/>
    </row>
    <row r="10" spans="1:7">
      <c r="A10" s="12"/>
      <c r="B10" s="31">
        <v>4</v>
      </c>
      <c r="C10" s="31" t="s">
        <v>93</v>
      </c>
      <c r="D10" s="3"/>
      <c r="E10" s="3"/>
      <c r="F10" s="3"/>
      <c r="G10" s="40" t="s">
        <v>84</v>
      </c>
    </row>
    <row r="11" spans="1:7" ht="15" thickBot="1">
      <c r="A11" s="14"/>
      <c r="B11" s="33">
        <v>5</v>
      </c>
      <c r="C11" s="33" t="s">
        <v>94</v>
      </c>
      <c r="D11" s="41"/>
      <c r="E11" s="41" t="s">
        <v>84</v>
      </c>
      <c r="F11" s="41"/>
      <c r="G11" s="42"/>
    </row>
    <row r="12" spans="1:7">
      <c r="A12" s="30" t="s">
        <v>95</v>
      </c>
      <c r="B12" s="31">
        <v>1</v>
      </c>
      <c r="C12" s="31" t="s">
        <v>96</v>
      </c>
      <c r="D12" s="3"/>
      <c r="E12" s="3"/>
      <c r="F12" s="3" t="s">
        <v>90</v>
      </c>
      <c r="G12" s="40"/>
    </row>
    <row r="13" spans="1:7">
      <c r="A13" s="12"/>
      <c r="B13" s="31">
        <v>2</v>
      </c>
      <c r="C13" s="31" t="s">
        <v>97</v>
      </c>
      <c r="D13" s="3"/>
      <c r="E13" s="3" t="s">
        <v>84</v>
      </c>
      <c r="F13" s="3"/>
      <c r="G13" s="40"/>
    </row>
    <row r="14" spans="1:7">
      <c r="A14" s="12"/>
      <c r="B14" s="31">
        <v>3</v>
      </c>
      <c r="C14" s="31" t="s">
        <v>98</v>
      </c>
      <c r="D14" s="3"/>
      <c r="E14" s="3"/>
      <c r="F14" s="3"/>
      <c r="G14" s="40" t="s">
        <v>84</v>
      </c>
    </row>
    <row r="15" spans="1:7">
      <c r="A15" s="12"/>
      <c r="B15" s="31">
        <v>4</v>
      </c>
      <c r="C15" s="31" t="s">
        <v>99</v>
      </c>
      <c r="D15" s="3" t="s">
        <v>84</v>
      </c>
      <c r="E15" s="3"/>
      <c r="F15" s="3"/>
      <c r="G15" s="40"/>
    </row>
    <row r="16" spans="1:7" ht="15" thickBot="1">
      <c r="A16" s="12"/>
      <c r="B16" s="31">
        <v>5</v>
      </c>
      <c r="C16" s="31" t="s">
        <v>100</v>
      </c>
      <c r="D16" s="3"/>
      <c r="E16" s="3"/>
      <c r="F16" s="3" t="s">
        <v>84</v>
      </c>
      <c r="G16" s="40"/>
    </row>
    <row r="17" spans="1:7">
      <c r="A17" s="35" t="s">
        <v>101</v>
      </c>
      <c r="B17" s="36">
        <v>1</v>
      </c>
      <c r="C17" s="36" t="s">
        <v>102</v>
      </c>
      <c r="D17" s="38"/>
      <c r="E17" s="38"/>
      <c r="F17" s="38"/>
      <c r="G17" s="39" t="s">
        <v>90</v>
      </c>
    </row>
    <row r="18" spans="1:7">
      <c r="A18" s="12"/>
      <c r="B18" s="31">
        <v>2</v>
      </c>
      <c r="C18" s="31" t="s">
        <v>103</v>
      </c>
      <c r="D18" s="3"/>
      <c r="E18" s="3"/>
      <c r="F18" s="3" t="s">
        <v>84</v>
      </c>
      <c r="G18" s="40"/>
    </row>
    <row r="19" spans="1:7">
      <c r="A19" s="12"/>
      <c r="B19" s="31">
        <v>3</v>
      </c>
      <c r="C19" s="31" t="s">
        <v>104</v>
      </c>
      <c r="D19" s="3" t="s">
        <v>84</v>
      </c>
      <c r="E19" s="3"/>
      <c r="F19" s="3"/>
      <c r="G19" s="40"/>
    </row>
    <row r="20" spans="1:7">
      <c r="A20" s="12"/>
      <c r="B20" s="31">
        <v>4</v>
      </c>
      <c r="C20" s="31" t="s">
        <v>105</v>
      </c>
      <c r="D20" s="3"/>
      <c r="E20" s="3" t="s">
        <v>84</v>
      </c>
      <c r="F20" s="3"/>
      <c r="G20" s="40"/>
    </row>
    <row r="21" spans="1:7" ht="15" thickBot="1">
      <c r="A21" s="14"/>
      <c r="B21" s="33">
        <v>5</v>
      </c>
      <c r="C21" s="33" t="s">
        <v>106</v>
      </c>
      <c r="D21" s="41"/>
      <c r="E21" s="41"/>
      <c r="F21" s="41"/>
      <c r="G21" s="4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ED522-D6C4-4236-801E-7C038CD13ED7}">
  <dimension ref="A1:K6"/>
  <sheetViews>
    <sheetView zoomScale="190" zoomScaleNormal="190" workbookViewId="0">
      <selection activeCell="J6" sqref="J6"/>
    </sheetView>
  </sheetViews>
  <sheetFormatPr defaultRowHeight="14.5"/>
  <cols>
    <col min="1" max="1" width="12.81640625" customWidth="1"/>
    <col min="2" max="2" width="27" bestFit="1" customWidth="1"/>
    <col min="7" max="7" width="21.54296875" bestFit="1" customWidth="1"/>
    <col min="9" max="9" width="9.7265625" customWidth="1"/>
    <col min="10" max="10" width="10" customWidth="1"/>
    <col min="11" max="11" width="11.453125" customWidth="1"/>
  </cols>
  <sheetData>
    <row r="1" spans="1:11">
      <c r="A1" s="75"/>
      <c r="B1" s="74" t="s">
        <v>107</v>
      </c>
      <c r="C1" s="74" t="s">
        <v>2</v>
      </c>
      <c r="D1" s="74"/>
      <c r="E1" s="74" t="s">
        <v>108</v>
      </c>
      <c r="F1" s="74"/>
      <c r="G1" s="74" t="s">
        <v>109</v>
      </c>
    </row>
    <row r="2" spans="1:11">
      <c r="A2" s="75"/>
      <c r="B2" s="74"/>
      <c r="C2" s="25" t="s">
        <v>110</v>
      </c>
      <c r="D2" s="25" t="s">
        <v>111</v>
      </c>
      <c r="E2" s="25" t="s">
        <v>110</v>
      </c>
      <c r="F2" s="25" t="s">
        <v>111</v>
      </c>
      <c r="G2" s="74"/>
    </row>
    <row r="3" spans="1:11" ht="15" thickBot="1">
      <c r="A3" s="25" t="s">
        <v>80</v>
      </c>
      <c r="B3" s="25">
        <v>1</v>
      </c>
      <c r="C3" s="25">
        <v>12</v>
      </c>
      <c r="D3" s="25">
        <v>25</v>
      </c>
      <c r="E3" s="25">
        <v>10</v>
      </c>
      <c r="F3" s="25">
        <v>20</v>
      </c>
      <c r="G3" s="25" t="s">
        <v>112</v>
      </c>
      <c r="I3" s="64" t="s">
        <v>44</v>
      </c>
      <c r="J3" s="64"/>
      <c r="K3" s="64"/>
    </row>
    <row r="4" spans="1:11" ht="15" thickBot="1">
      <c r="A4" s="25" t="s">
        <v>88</v>
      </c>
      <c r="B4" s="25">
        <v>0.85</v>
      </c>
      <c r="C4" s="25">
        <v>35</v>
      </c>
      <c r="D4" s="25">
        <v>60</v>
      </c>
      <c r="E4" s="25">
        <v>30</v>
      </c>
      <c r="F4" s="25">
        <v>50</v>
      </c>
      <c r="G4" s="25" t="s">
        <v>112</v>
      </c>
      <c r="I4" s="24" t="s">
        <v>45</v>
      </c>
      <c r="J4" s="26" t="s">
        <v>1088</v>
      </c>
      <c r="K4" s="25" t="s">
        <v>46</v>
      </c>
    </row>
    <row r="5" spans="1:11">
      <c r="A5" s="25" t="s">
        <v>95</v>
      </c>
      <c r="B5" s="25">
        <v>0.7</v>
      </c>
      <c r="C5" s="25">
        <v>160</v>
      </c>
      <c r="D5" s="25">
        <v>250</v>
      </c>
      <c r="E5" s="25">
        <v>140</v>
      </c>
      <c r="F5" s="25">
        <v>220</v>
      </c>
      <c r="G5" s="25" t="s">
        <v>113</v>
      </c>
      <c r="I5" s="61">
        <v>1</v>
      </c>
      <c r="J5" s="61">
        <v>0.95</v>
      </c>
      <c r="K5" s="61">
        <v>0.9</v>
      </c>
    </row>
    <row r="6" spans="1:11">
      <c r="A6" s="25" t="s">
        <v>101</v>
      </c>
      <c r="B6" s="25">
        <v>1.2</v>
      </c>
      <c r="C6" s="25">
        <v>100</v>
      </c>
      <c r="D6" s="25">
        <v>180</v>
      </c>
      <c r="E6" s="25">
        <v>90</v>
      </c>
      <c r="F6" s="25">
        <v>150</v>
      </c>
      <c r="G6" s="25" t="s">
        <v>113</v>
      </c>
    </row>
  </sheetData>
  <mergeCells count="6">
    <mergeCell ref="I3:K3"/>
    <mergeCell ref="B1:B2"/>
    <mergeCell ref="C1:D1"/>
    <mergeCell ref="E1:F1"/>
    <mergeCell ref="A1:A2"/>
    <mergeCell ref="G1:G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847F-978A-4A39-807A-F5E72B458E08}">
  <dimension ref="A1:F21"/>
  <sheetViews>
    <sheetView zoomScale="145" zoomScaleNormal="145" workbookViewId="0">
      <selection activeCell="B4" sqref="B4"/>
    </sheetView>
  </sheetViews>
  <sheetFormatPr defaultColWidth="14.453125" defaultRowHeight="14.5"/>
  <cols>
    <col min="3" max="3" width="30.54296875" customWidth="1"/>
    <col min="4" max="4" width="9" customWidth="1"/>
  </cols>
  <sheetData>
    <row r="1" spans="1:6" ht="15" thickBot="1">
      <c r="A1" s="27" t="s">
        <v>114</v>
      </c>
      <c r="B1" s="28" t="s">
        <v>115</v>
      </c>
      <c r="C1" s="28" t="s">
        <v>116</v>
      </c>
      <c r="D1" s="28" t="s">
        <v>117</v>
      </c>
      <c r="E1" s="28" t="s">
        <v>2</v>
      </c>
      <c r="F1" s="29" t="s">
        <v>108</v>
      </c>
    </row>
    <row r="2" spans="1:6">
      <c r="A2" s="35" t="s">
        <v>80</v>
      </c>
      <c r="B2" s="36">
        <v>1</v>
      </c>
      <c r="C2" s="36" t="s">
        <v>81</v>
      </c>
      <c r="D2" s="36" t="s">
        <v>118</v>
      </c>
      <c r="E2" s="36">
        <v>12</v>
      </c>
      <c r="F2" s="37">
        <v>10</v>
      </c>
    </row>
    <row r="3" spans="1:6">
      <c r="A3" s="12"/>
      <c r="B3" s="31">
        <v>2</v>
      </c>
      <c r="C3" s="31" t="s">
        <v>83</v>
      </c>
      <c r="D3" s="31">
        <v>40</v>
      </c>
      <c r="E3" s="31">
        <v>15</v>
      </c>
      <c r="F3" s="32">
        <v>12</v>
      </c>
    </row>
    <row r="4" spans="1:6">
      <c r="A4" s="12"/>
      <c r="B4" s="31">
        <v>3</v>
      </c>
      <c r="C4" s="31" t="s">
        <v>85</v>
      </c>
      <c r="D4" s="31">
        <v>80</v>
      </c>
      <c r="E4" s="31">
        <v>18</v>
      </c>
      <c r="F4" s="32">
        <v>15</v>
      </c>
    </row>
    <row r="5" spans="1:6">
      <c r="A5" s="12"/>
      <c r="B5" s="31">
        <v>4</v>
      </c>
      <c r="C5" s="31" t="s">
        <v>86</v>
      </c>
      <c r="D5" s="31">
        <v>140</v>
      </c>
      <c r="E5" s="31">
        <v>22</v>
      </c>
      <c r="F5" s="32">
        <v>17</v>
      </c>
    </row>
    <row r="6" spans="1:6" ht="15" thickBot="1">
      <c r="A6" s="14"/>
      <c r="B6" s="33">
        <v>5</v>
      </c>
      <c r="C6" s="33" t="s">
        <v>87</v>
      </c>
      <c r="D6" s="33">
        <v>220</v>
      </c>
      <c r="E6" s="33">
        <v>25</v>
      </c>
      <c r="F6" s="34">
        <v>20</v>
      </c>
    </row>
    <row r="7" spans="1:6">
      <c r="A7" s="30" t="s">
        <v>88</v>
      </c>
      <c r="B7" s="31">
        <v>1</v>
      </c>
      <c r="C7" s="31" t="s">
        <v>89</v>
      </c>
      <c r="D7" s="31">
        <v>150</v>
      </c>
      <c r="E7" s="31">
        <v>35</v>
      </c>
      <c r="F7" s="32">
        <v>30</v>
      </c>
    </row>
    <row r="8" spans="1:6">
      <c r="A8" s="12"/>
      <c r="B8" s="31">
        <v>2</v>
      </c>
      <c r="C8" s="31" t="s">
        <v>91</v>
      </c>
      <c r="D8" s="31">
        <v>300</v>
      </c>
      <c r="E8" s="31">
        <v>41</v>
      </c>
      <c r="F8" s="32">
        <v>35</v>
      </c>
    </row>
    <row r="9" spans="1:6">
      <c r="A9" s="12"/>
      <c r="B9" s="31">
        <v>3</v>
      </c>
      <c r="C9" s="31" t="s">
        <v>92</v>
      </c>
      <c r="D9" s="31">
        <v>500</v>
      </c>
      <c r="E9" s="31">
        <v>48</v>
      </c>
      <c r="F9" s="32">
        <v>40</v>
      </c>
    </row>
    <row r="10" spans="1:6">
      <c r="A10" s="12"/>
      <c r="B10" s="31">
        <v>4</v>
      </c>
      <c r="C10" s="31" t="s">
        <v>93</v>
      </c>
      <c r="D10" s="31">
        <v>800</v>
      </c>
      <c r="E10" s="31">
        <v>54</v>
      </c>
      <c r="F10" s="32">
        <v>45</v>
      </c>
    </row>
    <row r="11" spans="1:6" ht="15" thickBot="1">
      <c r="A11" s="12"/>
      <c r="B11" s="31">
        <v>5</v>
      </c>
      <c r="C11" s="31" t="s">
        <v>94</v>
      </c>
      <c r="D11" s="31">
        <v>1750</v>
      </c>
      <c r="E11" s="31">
        <v>60</v>
      </c>
      <c r="F11" s="32">
        <v>50</v>
      </c>
    </row>
    <row r="12" spans="1:6">
      <c r="A12" s="35" t="s">
        <v>95</v>
      </c>
      <c r="B12" s="36">
        <v>1</v>
      </c>
      <c r="C12" s="36" t="s">
        <v>96</v>
      </c>
      <c r="D12" s="36">
        <v>600</v>
      </c>
      <c r="E12" s="36">
        <v>160</v>
      </c>
      <c r="F12" s="37">
        <v>140</v>
      </c>
    </row>
    <row r="13" spans="1:6">
      <c r="A13" s="12"/>
      <c r="B13" s="31">
        <v>2</v>
      </c>
      <c r="C13" s="31" t="s">
        <v>97</v>
      </c>
      <c r="D13" s="31">
        <v>1100</v>
      </c>
      <c r="E13" s="31">
        <v>180</v>
      </c>
      <c r="F13" s="32">
        <v>160</v>
      </c>
    </row>
    <row r="14" spans="1:6">
      <c r="A14" s="12"/>
      <c r="B14" s="31">
        <v>3</v>
      </c>
      <c r="C14" s="31" t="s">
        <v>98</v>
      </c>
      <c r="D14" s="31">
        <v>1800</v>
      </c>
      <c r="E14" s="31">
        <v>205</v>
      </c>
      <c r="F14" s="32">
        <v>180</v>
      </c>
    </row>
    <row r="15" spans="1:6">
      <c r="A15" s="12"/>
      <c r="B15" s="31">
        <v>4</v>
      </c>
      <c r="C15" s="31" t="s">
        <v>99</v>
      </c>
      <c r="D15" s="31">
        <v>2800</v>
      </c>
      <c r="E15" s="31">
        <v>230</v>
      </c>
      <c r="F15" s="32">
        <v>200</v>
      </c>
    </row>
    <row r="16" spans="1:6" ht="15" thickBot="1">
      <c r="A16" s="14"/>
      <c r="B16" s="33">
        <v>5</v>
      </c>
      <c r="C16" s="33" t="s">
        <v>100</v>
      </c>
      <c r="D16" s="33">
        <v>6300</v>
      </c>
      <c r="E16" s="33">
        <v>250</v>
      </c>
      <c r="F16" s="34">
        <v>220</v>
      </c>
    </row>
    <row r="17" spans="1:6">
      <c r="A17" s="30" t="s">
        <v>101</v>
      </c>
      <c r="B17" s="31">
        <v>1</v>
      </c>
      <c r="C17" s="31" t="s">
        <v>102</v>
      </c>
      <c r="D17" s="31">
        <v>800</v>
      </c>
      <c r="E17" s="31">
        <v>100</v>
      </c>
      <c r="F17" s="32">
        <v>90</v>
      </c>
    </row>
    <row r="18" spans="1:6">
      <c r="A18" s="12"/>
      <c r="B18" s="31">
        <v>2</v>
      </c>
      <c r="C18" s="31" t="s">
        <v>103</v>
      </c>
      <c r="D18" s="31">
        <v>1400</v>
      </c>
      <c r="E18" s="31">
        <v>120</v>
      </c>
      <c r="F18" s="32">
        <v>105</v>
      </c>
    </row>
    <row r="19" spans="1:6">
      <c r="A19" s="12"/>
      <c r="B19" s="31">
        <v>3</v>
      </c>
      <c r="C19" s="31" t="s">
        <v>104</v>
      </c>
      <c r="D19" s="31">
        <v>2300</v>
      </c>
      <c r="E19" s="31">
        <v>140</v>
      </c>
      <c r="F19" s="32">
        <v>120</v>
      </c>
    </row>
    <row r="20" spans="1:6">
      <c r="A20" s="12"/>
      <c r="B20" s="31">
        <v>4</v>
      </c>
      <c r="C20" s="31" t="s">
        <v>105</v>
      </c>
      <c r="D20" s="31">
        <v>3500</v>
      </c>
      <c r="E20" s="31">
        <v>160</v>
      </c>
      <c r="F20" s="32">
        <v>135</v>
      </c>
    </row>
    <row r="21" spans="1:6" ht="15" thickBot="1">
      <c r="A21" s="14"/>
      <c r="B21" s="33">
        <v>5</v>
      </c>
      <c r="C21" s="33" t="s">
        <v>106</v>
      </c>
      <c r="D21" s="33">
        <v>8000</v>
      </c>
      <c r="E21" s="33">
        <v>180</v>
      </c>
      <c r="F21" s="34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2197-202B-400B-8637-3F94FFB870DD}">
  <dimension ref="A1:E6"/>
  <sheetViews>
    <sheetView tabSelected="1" zoomScale="145" zoomScaleNormal="145" workbookViewId="0">
      <selection activeCell="C4" sqref="C4"/>
    </sheetView>
  </sheetViews>
  <sheetFormatPr defaultColWidth="17.26953125" defaultRowHeight="14.5"/>
  <sheetData>
    <row r="1" spans="1:5">
      <c r="B1" s="64" t="s">
        <v>119</v>
      </c>
      <c r="C1" s="64"/>
      <c r="D1" s="64"/>
      <c r="E1" s="64"/>
    </row>
    <row r="2" spans="1:5">
      <c r="A2" t="s">
        <v>5</v>
      </c>
      <c r="B2" t="s">
        <v>120</v>
      </c>
      <c r="C2" t="s">
        <v>88</v>
      </c>
      <c r="D2" t="s">
        <v>95</v>
      </c>
      <c r="E2" t="s">
        <v>101</v>
      </c>
    </row>
    <row r="3" spans="1:5">
      <c r="A3" t="s">
        <v>121</v>
      </c>
      <c r="B3">
        <v>1</v>
      </c>
      <c r="C3">
        <v>1</v>
      </c>
      <c r="D3">
        <v>1.05</v>
      </c>
      <c r="E3">
        <v>1.1000000000000001</v>
      </c>
    </row>
    <row r="4" spans="1:5">
      <c r="A4" t="s">
        <v>122</v>
      </c>
      <c r="B4">
        <v>1</v>
      </c>
      <c r="C4">
        <v>1</v>
      </c>
      <c r="D4">
        <v>0.95</v>
      </c>
      <c r="E4">
        <v>0.95</v>
      </c>
    </row>
    <row r="5" spans="1:5">
      <c r="A5" t="s">
        <v>123</v>
      </c>
      <c r="B5">
        <v>0.8</v>
      </c>
      <c r="C5">
        <v>0.9</v>
      </c>
      <c r="D5">
        <v>0.95</v>
      </c>
      <c r="E5">
        <v>0.9</v>
      </c>
    </row>
    <row r="6" spans="1:5">
      <c r="A6" t="s">
        <v>124</v>
      </c>
      <c r="B6">
        <v>0.8</v>
      </c>
      <c r="C6">
        <v>0.6</v>
      </c>
      <c r="D6">
        <v>0.95</v>
      </c>
      <c r="E6">
        <v>0.9</v>
      </c>
    </row>
  </sheetData>
  <mergeCells count="1">
    <mergeCell ref="B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686A-32C1-45C4-9989-6CE3707EF701}">
  <dimension ref="A1:L6"/>
  <sheetViews>
    <sheetView zoomScale="160" zoomScaleNormal="160" workbookViewId="0">
      <selection activeCell="C3" sqref="C3"/>
    </sheetView>
  </sheetViews>
  <sheetFormatPr defaultRowHeight="14.5"/>
  <cols>
    <col min="11" max="11" width="24.1796875" bestFit="1" customWidth="1"/>
    <col min="12" max="12" width="26" bestFit="1" customWidth="1"/>
  </cols>
  <sheetData>
    <row r="1" spans="1:12">
      <c r="B1" s="64" t="s">
        <v>125</v>
      </c>
      <c r="C1" s="64"/>
      <c r="D1" s="64"/>
      <c r="E1" s="64"/>
      <c r="F1" s="57"/>
      <c r="G1" s="64" t="s">
        <v>126</v>
      </c>
      <c r="H1" s="64"/>
      <c r="I1" s="64"/>
      <c r="J1" s="64"/>
      <c r="K1" s="64" t="s">
        <v>127</v>
      </c>
      <c r="L1" s="64" t="s">
        <v>128</v>
      </c>
    </row>
    <row r="2" spans="1:12">
      <c r="B2" t="s">
        <v>121</v>
      </c>
      <c r="C2" t="s">
        <v>122</v>
      </c>
      <c r="D2" t="s">
        <v>123</v>
      </c>
      <c r="E2" t="s">
        <v>124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s="64"/>
      <c r="L2" s="64"/>
    </row>
    <row r="3" spans="1:12">
      <c r="A3" t="s">
        <v>134</v>
      </c>
      <c r="B3" t="s">
        <v>84</v>
      </c>
      <c r="C3" t="s">
        <v>84</v>
      </c>
      <c r="F3" s="43">
        <v>0.75</v>
      </c>
      <c r="G3" s="43">
        <v>0.25</v>
      </c>
      <c r="K3" s="49">
        <v>1</v>
      </c>
      <c r="L3">
        <v>0.5</v>
      </c>
    </row>
    <row r="4" spans="1:12">
      <c r="A4" t="s">
        <v>135</v>
      </c>
      <c r="B4" t="s">
        <v>84</v>
      </c>
      <c r="C4" t="s">
        <v>84</v>
      </c>
      <c r="E4" t="s">
        <v>84</v>
      </c>
      <c r="F4" s="43">
        <v>0.8</v>
      </c>
      <c r="J4" s="43">
        <v>0.2</v>
      </c>
      <c r="K4" s="49">
        <v>1.2</v>
      </c>
      <c r="L4">
        <v>0.4</v>
      </c>
    </row>
    <row r="5" spans="1:12">
      <c r="A5" t="s">
        <v>136</v>
      </c>
      <c r="B5" t="s">
        <v>84</v>
      </c>
      <c r="C5" t="s">
        <v>84</v>
      </c>
      <c r="F5" s="43">
        <v>0.7</v>
      </c>
      <c r="G5" s="43">
        <v>0.2</v>
      </c>
      <c r="H5" s="43">
        <v>0.1</v>
      </c>
      <c r="K5" s="49">
        <v>1</v>
      </c>
      <c r="L5" s="49">
        <v>0.6</v>
      </c>
    </row>
    <row r="6" spans="1:12">
      <c r="A6" t="s">
        <v>137</v>
      </c>
      <c r="B6" t="s">
        <v>84</v>
      </c>
      <c r="D6" t="s">
        <v>84</v>
      </c>
      <c r="F6" s="43">
        <v>0.65</v>
      </c>
      <c r="I6" s="43">
        <v>0.35</v>
      </c>
      <c r="K6" s="49">
        <v>0.8</v>
      </c>
      <c r="L6" s="49">
        <v>0.7</v>
      </c>
    </row>
  </sheetData>
  <mergeCells count="4">
    <mergeCell ref="B1:E1"/>
    <mergeCell ref="G1:J1"/>
    <mergeCell ref="K1:K2"/>
    <mergeCell ref="L1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9D03-5295-4077-88C7-C4FA7A410F5D}">
  <dimension ref="A1:C3"/>
  <sheetViews>
    <sheetView zoomScale="175" zoomScaleNormal="175" workbookViewId="0">
      <selection activeCell="C3" sqref="C3"/>
    </sheetView>
  </sheetViews>
  <sheetFormatPr defaultRowHeight="14.5"/>
  <cols>
    <col min="1" max="1" width="25.54296875" bestFit="1" customWidth="1"/>
  </cols>
  <sheetData>
    <row r="1" spans="1:3">
      <c r="B1" t="s">
        <v>110</v>
      </c>
      <c r="C1" t="s">
        <v>111</v>
      </c>
    </row>
    <row r="2" spans="1:3">
      <c r="A2" t="s">
        <v>138</v>
      </c>
      <c r="B2">
        <v>24</v>
      </c>
      <c r="C2">
        <v>72</v>
      </c>
    </row>
    <row r="3" spans="1:3">
      <c r="A3" t="s">
        <v>139</v>
      </c>
      <c r="B3" t="s">
        <v>140</v>
      </c>
      <c r="C3" t="s">
        <v>141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9EC7-3D85-4FF5-ABA6-4258362338AC}">
  <dimension ref="A2:B7"/>
  <sheetViews>
    <sheetView topLeftCell="A4" zoomScale="175" zoomScaleNormal="175" workbookViewId="0">
      <selection activeCell="B5" sqref="B5"/>
    </sheetView>
  </sheetViews>
  <sheetFormatPr defaultRowHeight="14.5"/>
  <cols>
    <col min="1" max="1" width="36" bestFit="1" customWidth="1"/>
    <col min="2" max="2" width="16.54296875" bestFit="1" customWidth="1"/>
  </cols>
  <sheetData>
    <row r="2" spans="1:2">
      <c r="A2" t="s">
        <v>142</v>
      </c>
      <c r="B2" t="s">
        <v>143</v>
      </c>
    </row>
    <row r="3" spans="1:2">
      <c r="A3" t="s">
        <v>144</v>
      </c>
      <c r="B3" t="s">
        <v>65</v>
      </c>
    </row>
    <row r="4" spans="1:2">
      <c r="A4" s="44" t="s">
        <v>145</v>
      </c>
      <c r="B4">
        <v>30</v>
      </c>
    </row>
    <row r="5" spans="1:2">
      <c r="A5" s="44" t="s">
        <v>146</v>
      </c>
      <c r="B5" t="s">
        <v>147</v>
      </c>
    </row>
    <row r="6" spans="1:2">
      <c r="A6" t="s">
        <v>148</v>
      </c>
      <c r="B6">
        <v>10</v>
      </c>
    </row>
    <row r="7" spans="1:2">
      <c r="A7" s="50" t="s">
        <v>149</v>
      </c>
      <c r="B7">
        <v>0.65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7153-E00F-4205-8841-82B4023F38D5}">
  <dimension ref="A1:G408"/>
  <sheetViews>
    <sheetView zoomScale="160" zoomScaleNormal="160" workbookViewId="0">
      <selection activeCell="B3" sqref="B3"/>
    </sheetView>
  </sheetViews>
  <sheetFormatPr defaultColWidth="8.7265625" defaultRowHeight="36.75" customHeight="1"/>
  <cols>
    <col min="1" max="1" width="12.7265625" style="51" customWidth="1"/>
    <col min="2" max="2" width="18.453125" style="51" customWidth="1"/>
    <col min="3" max="3" width="34.54296875" style="51" customWidth="1"/>
    <col min="4" max="4" width="77.453125" style="51" customWidth="1"/>
    <col min="5" max="5" width="47.81640625" style="51" customWidth="1"/>
    <col min="6" max="6" width="55.81640625" style="51" customWidth="1"/>
    <col min="7" max="7" width="21.453125" style="51" customWidth="1"/>
    <col min="8" max="16384" width="8.7265625" style="51"/>
  </cols>
  <sheetData>
    <row r="1" spans="1:7" ht="36.75" customHeight="1">
      <c r="A1" s="54" t="s">
        <v>150</v>
      </c>
      <c r="B1" s="54" t="s">
        <v>151</v>
      </c>
      <c r="C1" s="54" t="s">
        <v>152</v>
      </c>
      <c r="D1" s="54" t="s">
        <v>153</v>
      </c>
      <c r="E1" s="54" t="s">
        <v>154</v>
      </c>
      <c r="F1" s="54" t="s">
        <v>155</v>
      </c>
      <c r="G1" s="54" t="s">
        <v>156</v>
      </c>
    </row>
    <row r="2" spans="1:7" ht="36.75" customHeight="1">
      <c r="A2" s="52">
        <v>1</v>
      </c>
      <c r="B2" s="52" t="s">
        <v>82</v>
      </c>
      <c r="C2" s="53" t="s">
        <v>157</v>
      </c>
      <c r="D2" s="53" t="s">
        <v>158</v>
      </c>
      <c r="E2" s="53" t="s">
        <v>118</v>
      </c>
      <c r="F2" s="53" t="s">
        <v>159</v>
      </c>
      <c r="G2" s="53" t="s">
        <v>118</v>
      </c>
    </row>
    <row r="3" spans="1:7" ht="36.75" customHeight="1">
      <c r="A3" s="52">
        <v>2</v>
      </c>
      <c r="B3" s="52" t="s">
        <v>82</v>
      </c>
      <c r="C3" s="53" t="s">
        <v>160</v>
      </c>
      <c r="D3" s="53" t="s">
        <v>161</v>
      </c>
      <c r="E3" s="53" t="s">
        <v>118</v>
      </c>
      <c r="F3" s="53" t="s">
        <v>162</v>
      </c>
      <c r="G3" s="53" t="s">
        <v>118</v>
      </c>
    </row>
    <row r="4" spans="1:7" ht="36.75" customHeight="1">
      <c r="A4" s="52">
        <v>3</v>
      </c>
      <c r="B4" s="52" t="s">
        <v>82</v>
      </c>
      <c r="C4" s="53" t="s">
        <v>163</v>
      </c>
      <c r="D4" s="53" t="s">
        <v>164</v>
      </c>
      <c r="E4" s="53" t="s">
        <v>118</v>
      </c>
      <c r="F4" s="53" t="s">
        <v>165</v>
      </c>
      <c r="G4" s="53" t="s">
        <v>118</v>
      </c>
    </row>
    <row r="5" spans="1:7" ht="36.75" customHeight="1">
      <c r="A5" s="52">
        <v>4</v>
      </c>
      <c r="B5" s="52" t="s">
        <v>82</v>
      </c>
      <c r="C5" s="53" t="s">
        <v>166</v>
      </c>
      <c r="D5" s="53" t="s">
        <v>167</v>
      </c>
      <c r="E5" s="53" t="s">
        <v>118</v>
      </c>
      <c r="F5" s="53" t="s">
        <v>168</v>
      </c>
      <c r="G5" s="53" t="s">
        <v>118</v>
      </c>
    </row>
    <row r="6" spans="1:7" ht="36.75" customHeight="1">
      <c r="A6" s="52">
        <v>5</v>
      </c>
      <c r="B6" s="52" t="s">
        <v>82</v>
      </c>
      <c r="C6" s="53" t="s">
        <v>169</v>
      </c>
      <c r="D6" s="53" t="s">
        <v>170</v>
      </c>
      <c r="E6" s="53" t="s">
        <v>118</v>
      </c>
      <c r="F6" s="53" t="s">
        <v>171</v>
      </c>
      <c r="G6" s="53" t="s">
        <v>118</v>
      </c>
    </row>
    <row r="7" spans="1:7" ht="36.75" customHeight="1">
      <c r="A7" s="52">
        <v>6</v>
      </c>
      <c r="B7" s="52" t="s">
        <v>82</v>
      </c>
      <c r="C7" s="53" t="s">
        <v>172</v>
      </c>
      <c r="D7" s="53" t="s">
        <v>173</v>
      </c>
      <c r="E7" s="53" t="s">
        <v>118</v>
      </c>
      <c r="F7" s="53" t="s">
        <v>174</v>
      </c>
      <c r="G7" s="53" t="s">
        <v>118</v>
      </c>
    </row>
    <row r="8" spans="1:7" ht="36.75" customHeight="1">
      <c r="A8" s="52">
        <v>7</v>
      </c>
      <c r="B8" s="52" t="s">
        <v>82</v>
      </c>
      <c r="C8" s="53" t="s">
        <v>175</v>
      </c>
      <c r="D8" s="53" t="s">
        <v>176</v>
      </c>
      <c r="E8" s="53" t="s">
        <v>118</v>
      </c>
      <c r="F8" s="53" t="s">
        <v>177</v>
      </c>
      <c r="G8" s="53" t="s">
        <v>118</v>
      </c>
    </row>
    <row r="9" spans="1:7" ht="36.75" customHeight="1">
      <c r="A9" s="52">
        <v>8</v>
      </c>
      <c r="B9" s="52" t="s">
        <v>82</v>
      </c>
      <c r="C9" s="53" t="s">
        <v>178</v>
      </c>
      <c r="D9" s="53" t="s">
        <v>179</v>
      </c>
      <c r="E9" s="53" t="s">
        <v>118</v>
      </c>
      <c r="F9" s="53" t="s">
        <v>180</v>
      </c>
      <c r="G9" s="53" t="s">
        <v>118</v>
      </c>
    </row>
    <row r="10" spans="1:7" ht="36.75" customHeight="1">
      <c r="A10" s="52">
        <v>9</v>
      </c>
      <c r="B10" s="52" t="s">
        <v>82</v>
      </c>
      <c r="C10" s="53" t="s">
        <v>181</v>
      </c>
      <c r="D10" s="53" t="s">
        <v>182</v>
      </c>
      <c r="E10" s="53" t="s">
        <v>118</v>
      </c>
      <c r="F10" s="53" t="s">
        <v>183</v>
      </c>
      <c r="G10" s="53" t="s">
        <v>118</v>
      </c>
    </row>
    <row r="11" spans="1:7" ht="36.75" customHeight="1">
      <c r="A11" s="52">
        <v>10</v>
      </c>
      <c r="B11" s="52" t="s">
        <v>82</v>
      </c>
      <c r="C11" s="53" t="s">
        <v>184</v>
      </c>
      <c r="D11" s="53" t="s">
        <v>185</v>
      </c>
      <c r="E11" s="53" t="s">
        <v>118</v>
      </c>
      <c r="F11" s="53" t="s">
        <v>186</v>
      </c>
      <c r="G11" s="53" t="s">
        <v>118</v>
      </c>
    </row>
    <row r="12" spans="1:7" ht="36.75" customHeight="1">
      <c r="A12" s="52">
        <v>11</v>
      </c>
      <c r="B12" s="52" t="s">
        <v>187</v>
      </c>
      <c r="C12" s="53" t="s">
        <v>188</v>
      </c>
      <c r="D12" s="53" t="s">
        <v>189</v>
      </c>
      <c r="E12" s="53" t="s">
        <v>190</v>
      </c>
      <c r="F12" s="53" t="s">
        <v>191</v>
      </c>
      <c r="G12" s="53" t="s">
        <v>118</v>
      </c>
    </row>
    <row r="13" spans="1:7" ht="36.75" customHeight="1">
      <c r="A13" s="52">
        <v>12</v>
      </c>
      <c r="B13" s="52" t="s">
        <v>187</v>
      </c>
      <c r="C13" s="53" t="s">
        <v>192</v>
      </c>
      <c r="D13" s="53" t="s">
        <v>193</v>
      </c>
      <c r="E13" s="53" t="s">
        <v>190</v>
      </c>
      <c r="F13" s="53" t="s">
        <v>194</v>
      </c>
      <c r="G13" s="53" t="s">
        <v>118</v>
      </c>
    </row>
    <row r="14" spans="1:7" ht="36.75" customHeight="1">
      <c r="A14" s="52">
        <v>13</v>
      </c>
      <c r="B14" s="52" t="s">
        <v>187</v>
      </c>
      <c r="C14" s="53" t="s">
        <v>195</v>
      </c>
      <c r="D14" s="53" t="s">
        <v>196</v>
      </c>
      <c r="E14" s="53" t="s">
        <v>197</v>
      </c>
      <c r="F14" s="53" t="s">
        <v>198</v>
      </c>
      <c r="G14" s="53" t="s">
        <v>118</v>
      </c>
    </row>
    <row r="15" spans="1:7" ht="36.75" customHeight="1">
      <c r="A15" s="52">
        <v>14</v>
      </c>
      <c r="B15" s="52" t="s">
        <v>187</v>
      </c>
      <c r="C15" s="53" t="s">
        <v>199</v>
      </c>
      <c r="D15" s="53" t="s">
        <v>200</v>
      </c>
      <c r="E15" s="53" t="s">
        <v>190</v>
      </c>
      <c r="F15" s="53" t="s">
        <v>201</v>
      </c>
      <c r="G15" s="53" t="s">
        <v>118</v>
      </c>
    </row>
    <row r="16" spans="1:7" ht="36.75" customHeight="1">
      <c r="A16" s="52">
        <v>15</v>
      </c>
      <c r="B16" s="52" t="s">
        <v>187</v>
      </c>
      <c r="C16" s="53" t="s">
        <v>202</v>
      </c>
      <c r="D16" s="53" t="s">
        <v>203</v>
      </c>
      <c r="E16" s="53" t="s">
        <v>204</v>
      </c>
      <c r="F16" s="53" t="s">
        <v>205</v>
      </c>
      <c r="G16" s="53" t="s">
        <v>118</v>
      </c>
    </row>
    <row r="17" spans="1:7" ht="36.75" customHeight="1">
      <c r="A17" s="52">
        <v>16</v>
      </c>
      <c r="B17" s="52" t="s">
        <v>187</v>
      </c>
      <c r="C17" s="53" t="s">
        <v>206</v>
      </c>
      <c r="D17" s="53" t="s">
        <v>207</v>
      </c>
      <c r="E17" s="53" t="s">
        <v>190</v>
      </c>
      <c r="F17" s="53" t="s">
        <v>208</v>
      </c>
      <c r="G17" s="53" t="s">
        <v>118</v>
      </c>
    </row>
    <row r="18" spans="1:7" ht="36.75" customHeight="1">
      <c r="A18" s="52">
        <v>17</v>
      </c>
      <c r="B18" s="52" t="s">
        <v>187</v>
      </c>
      <c r="C18" s="53" t="s">
        <v>209</v>
      </c>
      <c r="D18" s="53" t="s">
        <v>210</v>
      </c>
      <c r="E18" s="53" t="s">
        <v>211</v>
      </c>
      <c r="F18" s="53" t="s">
        <v>212</v>
      </c>
      <c r="G18" s="53" t="s">
        <v>118</v>
      </c>
    </row>
    <row r="19" spans="1:7" ht="36.75" customHeight="1">
      <c r="A19" s="52">
        <v>18</v>
      </c>
      <c r="B19" s="52" t="s">
        <v>187</v>
      </c>
      <c r="C19" s="53" t="s">
        <v>213</v>
      </c>
      <c r="D19" s="53" t="s">
        <v>214</v>
      </c>
      <c r="E19" s="53" t="s">
        <v>190</v>
      </c>
      <c r="F19" s="53" t="s">
        <v>215</v>
      </c>
      <c r="G19" s="53" t="s">
        <v>118</v>
      </c>
    </row>
    <row r="20" spans="1:7" ht="36.75" customHeight="1">
      <c r="A20" s="52">
        <v>19</v>
      </c>
      <c r="B20" s="52" t="s">
        <v>187</v>
      </c>
      <c r="C20" s="53" t="s">
        <v>216</v>
      </c>
      <c r="D20" s="53" t="s">
        <v>217</v>
      </c>
      <c r="E20" s="53" t="s">
        <v>218</v>
      </c>
      <c r="F20" s="53" t="s">
        <v>219</v>
      </c>
      <c r="G20" s="53" t="s">
        <v>118</v>
      </c>
    </row>
    <row r="21" spans="1:7" ht="36.75" customHeight="1">
      <c r="A21" s="52">
        <v>20</v>
      </c>
      <c r="B21" s="52" t="s">
        <v>187</v>
      </c>
      <c r="C21" s="53" t="s">
        <v>220</v>
      </c>
      <c r="D21" s="53" t="s">
        <v>221</v>
      </c>
      <c r="E21" s="53" t="s">
        <v>222</v>
      </c>
      <c r="F21" s="53" t="s">
        <v>223</v>
      </c>
      <c r="G21" s="53" t="s">
        <v>118</v>
      </c>
    </row>
    <row r="22" spans="1:7" ht="36.75" customHeight="1">
      <c r="A22" s="52">
        <v>21</v>
      </c>
      <c r="B22" s="52" t="s">
        <v>187</v>
      </c>
      <c r="C22" s="53" t="s">
        <v>224</v>
      </c>
      <c r="D22" s="53" t="s">
        <v>225</v>
      </c>
      <c r="E22" s="53" t="s">
        <v>226</v>
      </c>
      <c r="F22" s="53" t="s">
        <v>227</v>
      </c>
      <c r="G22" s="53" t="s">
        <v>118</v>
      </c>
    </row>
    <row r="23" spans="1:7" ht="36.75" customHeight="1">
      <c r="A23" s="52">
        <v>22</v>
      </c>
      <c r="B23" s="52" t="s">
        <v>187</v>
      </c>
      <c r="C23" s="53" t="s">
        <v>228</v>
      </c>
      <c r="D23" s="53" t="s">
        <v>229</v>
      </c>
      <c r="E23" s="53" t="s">
        <v>230</v>
      </c>
      <c r="F23" s="53" t="s">
        <v>231</v>
      </c>
      <c r="G23" s="53" t="s">
        <v>118</v>
      </c>
    </row>
    <row r="24" spans="1:7" ht="36.75" customHeight="1">
      <c r="A24" s="52">
        <v>23</v>
      </c>
      <c r="B24" s="52" t="s">
        <v>187</v>
      </c>
      <c r="C24" s="53" t="s">
        <v>232</v>
      </c>
      <c r="D24" s="53" t="s">
        <v>233</v>
      </c>
      <c r="E24" s="53" t="s">
        <v>234</v>
      </c>
      <c r="F24" s="53" t="s">
        <v>235</v>
      </c>
      <c r="G24" s="53" t="s">
        <v>118</v>
      </c>
    </row>
    <row r="25" spans="1:7" ht="36.75" customHeight="1">
      <c r="A25" s="52">
        <v>24</v>
      </c>
      <c r="B25" s="52" t="s">
        <v>187</v>
      </c>
      <c r="C25" s="53" t="s">
        <v>236</v>
      </c>
      <c r="D25" s="53" t="s">
        <v>237</v>
      </c>
      <c r="E25" s="53" t="s">
        <v>234</v>
      </c>
      <c r="F25" s="53" t="s">
        <v>238</v>
      </c>
      <c r="G25" s="53" t="s">
        <v>118</v>
      </c>
    </row>
    <row r="26" spans="1:7" ht="36.75" customHeight="1">
      <c r="A26" s="52">
        <v>25</v>
      </c>
      <c r="B26" s="52" t="s">
        <v>187</v>
      </c>
      <c r="C26" s="53" t="s">
        <v>239</v>
      </c>
      <c r="D26" s="53" t="s">
        <v>240</v>
      </c>
      <c r="E26" s="53" t="s">
        <v>241</v>
      </c>
      <c r="F26" s="53" t="s">
        <v>242</v>
      </c>
      <c r="G26" s="53" t="s">
        <v>118</v>
      </c>
    </row>
    <row r="27" spans="1:7" ht="36.75" customHeight="1">
      <c r="A27" s="52">
        <v>26</v>
      </c>
      <c r="B27" s="52" t="s">
        <v>187</v>
      </c>
      <c r="C27" s="53" t="s">
        <v>243</v>
      </c>
      <c r="D27" s="53" t="s">
        <v>244</v>
      </c>
      <c r="E27" s="53" t="s">
        <v>245</v>
      </c>
      <c r="F27" s="53" t="s">
        <v>246</v>
      </c>
      <c r="G27" s="53" t="s">
        <v>118</v>
      </c>
    </row>
    <row r="28" spans="1:7" ht="36.75" customHeight="1">
      <c r="A28" s="52">
        <v>27</v>
      </c>
      <c r="B28" s="52" t="s">
        <v>187</v>
      </c>
      <c r="C28" s="53" t="s">
        <v>247</v>
      </c>
      <c r="D28" s="53" t="s">
        <v>248</v>
      </c>
      <c r="E28" s="53" t="s">
        <v>245</v>
      </c>
      <c r="F28" s="53" t="s">
        <v>249</v>
      </c>
      <c r="G28" s="53" t="s">
        <v>118</v>
      </c>
    </row>
    <row r="29" spans="1:7" ht="36.75" customHeight="1">
      <c r="A29" s="52">
        <v>28</v>
      </c>
      <c r="B29" s="52" t="s">
        <v>187</v>
      </c>
      <c r="C29" s="53" t="s">
        <v>250</v>
      </c>
      <c r="D29" s="53" t="s">
        <v>251</v>
      </c>
      <c r="E29" s="53" t="s">
        <v>252</v>
      </c>
      <c r="F29" s="53" t="s">
        <v>253</v>
      </c>
      <c r="G29" s="53" t="s">
        <v>118</v>
      </c>
    </row>
    <row r="30" spans="1:7" ht="36.75" customHeight="1">
      <c r="A30" s="52">
        <v>29</v>
      </c>
      <c r="B30" s="52" t="s">
        <v>187</v>
      </c>
      <c r="C30" s="53" t="s">
        <v>254</v>
      </c>
      <c r="D30" s="53" t="s">
        <v>255</v>
      </c>
      <c r="E30" s="53" t="s">
        <v>252</v>
      </c>
      <c r="F30" s="53" t="s">
        <v>249</v>
      </c>
      <c r="G30" s="53" t="s">
        <v>118</v>
      </c>
    </row>
    <row r="31" spans="1:7" ht="36.75" customHeight="1">
      <c r="A31" s="52">
        <v>30</v>
      </c>
      <c r="B31" s="52" t="s">
        <v>187</v>
      </c>
      <c r="C31" s="53" t="s">
        <v>256</v>
      </c>
      <c r="D31" s="53" t="s">
        <v>257</v>
      </c>
      <c r="E31" s="53" t="s">
        <v>258</v>
      </c>
      <c r="F31" s="53" t="s">
        <v>259</v>
      </c>
      <c r="G31" s="53" t="s">
        <v>118</v>
      </c>
    </row>
    <row r="32" spans="1:7" ht="36.75" customHeight="1">
      <c r="A32" s="52">
        <v>31</v>
      </c>
      <c r="B32" s="52" t="s">
        <v>187</v>
      </c>
      <c r="C32" s="53" t="s">
        <v>260</v>
      </c>
      <c r="D32" s="53" t="s">
        <v>261</v>
      </c>
      <c r="E32" s="53" t="s">
        <v>262</v>
      </c>
      <c r="F32" s="53" t="s">
        <v>263</v>
      </c>
      <c r="G32" s="53" t="s">
        <v>118</v>
      </c>
    </row>
    <row r="33" spans="1:7" ht="36.75" customHeight="1">
      <c r="A33" s="52">
        <v>32</v>
      </c>
      <c r="B33" s="52" t="s">
        <v>187</v>
      </c>
      <c r="C33" s="53" t="s">
        <v>264</v>
      </c>
      <c r="D33" s="53" t="s">
        <v>265</v>
      </c>
      <c r="E33" s="53" t="s">
        <v>266</v>
      </c>
      <c r="F33" s="53" t="s">
        <v>267</v>
      </c>
      <c r="G33" s="53" t="s">
        <v>118</v>
      </c>
    </row>
    <row r="34" spans="1:7" ht="36.75" customHeight="1">
      <c r="A34" s="52">
        <v>33</v>
      </c>
      <c r="B34" s="52" t="s">
        <v>187</v>
      </c>
      <c r="C34" s="53" t="s">
        <v>268</v>
      </c>
      <c r="D34" s="53" t="s">
        <v>269</v>
      </c>
      <c r="E34" s="53" t="s">
        <v>270</v>
      </c>
      <c r="F34" s="53" t="s">
        <v>271</v>
      </c>
      <c r="G34" s="53" t="s">
        <v>118</v>
      </c>
    </row>
    <row r="35" spans="1:7" ht="36.75" customHeight="1">
      <c r="A35" s="52">
        <v>34</v>
      </c>
      <c r="B35" s="52" t="s">
        <v>187</v>
      </c>
      <c r="C35" s="53" t="s">
        <v>272</v>
      </c>
      <c r="D35" s="53" t="s">
        <v>273</v>
      </c>
      <c r="E35" s="53" t="s">
        <v>270</v>
      </c>
      <c r="F35" s="53" t="s">
        <v>274</v>
      </c>
      <c r="G35" s="53" t="s">
        <v>118</v>
      </c>
    </row>
    <row r="36" spans="1:7" ht="36.75" customHeight="1">
      <c r="A36" s="52">
        <v>35</v>
      </c>
      <c r="B36" s="52" t="s">
        <v>187</v>
      </c>
      <c r="C36" s="53" t="s">
        <v>275</v>
      </c>
      <c r="D36" s="53" t="s">
        <v>276</v>
      </c>
      <c r="E36" s="53" t="s">
        <v>270</v>
      </c>
      <c r="F36" s="53" t="s">
        <v>277</v>
      </c>
      <c r="G36" s="53" t="s">
        <v>118</v>
      </c>
    </row>
    <row r="37" spans="1:7" ht="36.75" customHeight="1">
      <c r="A37" s="52">
        <v>36</v>
      </c>
      <c r="B37" s="52" t="s">
        <v>187</v>
      </c>
      <c r="C37" s="53" t="s">
        <v>278</v>
      </c>
      <c r="D37" s="53" t="s">
        <v>279</v>
      </c>
      <c r="E37" s="53" t="s">
        <v>270</v>
      </c>
      <c r="F37" s="53" t="s">
        <v>280</v>
      </c>
      <c r="G37" s="53" t="s">
        <v>118</v>
      </c>
    </row>
    <row r="38" spans="1:7" ht="36.75" customHeight="1">
      <c r="A38" s="52">
        <v>37</v>
      </c>
      <c r="B38" s="52" t="s">
        <v>187</v>
      </c>
      <c r="C38" s="53" t="s">
        <v>281</v>
      </c>
      <c r="D38" s="53" t="s">
        <v>282</v>
      </c>
      <c r="E38" s="53" t="s">
        <v>283</v>
      </c>
      <c r="F38" s="53" t="s">
        <v>284</v>
      </c>
      <c r="G38" s="53" t="s">
        <v>118</v>
      </c>
    </row>
    <row r="39" spans="1:7" ht="36.75" customHeight="1">
      <c r="A39" s="52">
        <v>38</v>
      </c>
      <c r="B39" s="52" t="s">
        <v>187</v>
      </c>
      <c r="C39" s="53" t="s">
        <v>285</v>
      </c>
      <c r="D39" s="53" t="s">
        <v>286</v>
      </c>
      <c r="E39" s="53" t="s">
        <v>270</v>
      </c>
      <c r="F39" s="53" t="s">
        <v>287</v>
      </c>
      <c r="G39" s="53" t="s">
        <v>118</v>
      </c>
    </row>
    <row r="40" spans="1:7" ht="36.75" customHeight="1">
      <c r="A40" s="52">
        <v>39</v>
      </c>
      <c r="B40" s="52" t="s">
        <v>187</v>
      </c>
      <c r="C40" s="53" t="s">
        <v>288</v>
      </c>
      <c r="D40" s="53" t="s">
        <v>289</v>
      </c>
      <c r="E40" s="53" t="s">
        <v>290</v>
      </c>
      <c r="F40" s="53" t="s">
        <v>291</v>
      </c>
      <c r="G40" s="53" t="s">
        <v>118</v>
      </c>
    </row>
    <row r="41" spans="1:7" ht="36.75" customHeight="1">
      <c r="A41" s="52">
        <v>40</v>
      </c>
      <c r="B41" s="52" t="s">
        <v>187</v>
      </c>
      <c r="C41" s="53" t="s">
        <v>292</v>
      </c>
      <c r="D41" s="53" t="s">
        <v>293</v>
      </c>
      <c r="E41" s="53" t="s">
        <v>294</v>
      </c>
      <c r="F41" s="53" t="s">
        <v>295</v>
      </c>
      <c r="G41" s="53" t="s">
        <v>118</v>
      </c>
    </row>
    <row r="42" spans="1:7" ht="36.75" customHeight="1">
      <c r="A42" s="52">
        <v>41</v>
      </c>
      <c r="B42" s="52" t="s">
        <v>187</v>
      </c>
      <c r="C42" s="53" t="s">
        <v>296</v>
      </c>
      <c r="D42" s="53" t="s">
        <v>297</v>
      </c>
      <c r="E42" s="53" t="s">
        <v>290</v>
      </c>
      <c r="F42" s="53" t="s">
        <v>298</v>
      </c>
      <c r="G42" s="53" t="s">
        <v>118</v>
      </c>
    </row>
    <row r="43" spans="1:7" ht="36.75" customHeight="1">
      <c r="A43" s="52">
        <v>42</v>
      </c>
      <c r="B43" s="52" t="s">
        <v>187</v>
      </c>
      <c r="C43" s="53" t="s">
        <v>299</v>
      </c>
      <c r="D43" s="53" t="s">
        <v>300</v>
      </c>
      <c r="E43" s="53" t="s">
        <v>301</v>
      </c>
      <c r="F43" s="53" t="s">
        <v>302</v>
      </c>
      <c r="G43" s="53" t="s">
        <v>118</v>
      </c>
    </row>
    <row r="44" spans="1:7" ht="36.75" customHeight="1">
      <c r="A44" s="52">
        <v>43</v>
      </c>
      <c r="B44" s="52" t="s">
        <v>187</v>
      </c>
      <c r="C44" s="53" t="s">
        <v>303</v>
      </c>
      <c r="D44" s="53" t="s">
        <v>304</v>
      </c>
      <c r="E44" s="53" t="s">
        <v>305</v>
      </c>
      <c r="F44" s="53" t="s">
        <v>306</v>
      </c>
      <c r="G44" s="53" t="s">
        <v>118</v>
      </c>
    </row>
    <row r="45" spans="1:7" ht="36.75" customHeight="1">
      <c r="A45" s="52">
        <v>44</v>
      </c>
      <c r="B45" s="52" t="s">
        <v>187</v>
      </c>
      <c r="C45" s="53" t="s">
        <v>307</v>
      </c>
      <c r="D45" s="53" t="s">
        <v>308</v>
      </c>
      <c r="E45" s="53" t="s">
        <v>305</v>
      </c>
      <c r="F45" s="53" t="s">
        <v>309</v>
      </c>
      <c r="G45" s="53" t="s">
        <v>118</v>
      </c>
    </row>
    <row r="46" spans="1:7" ht="36.75" customHeight="1">
      <c r="A46" s="52">
        <v>45</v>
      </c>
      <c r="B46" s="52" t="s">
        <v>187</v>
      </c>
      <c r="C46" s="53" t="s">
        <v>310</v>
      </c>
      <c r="D46" s="53" t="s">
        <v>311</v>
      </c>
      <c r="E46" s="53" t="s">
        <v>312</v>
      </c>
      <c r="F46" s="53" t="s">
        <v>313</v>
      </c>
      <c r="G46" s="53" t="s">
        <v>118</v>
      </c>
    </row>
    <row r="47" spans="1:7" ht="36.75" customHeight="1">
      <c r="A47" s="52">
        <v>46</v>
      </c>
      <c r="B47" s="52" t="s">
        <v>187</v>
      </c>
      <c r="C47" s="53" t="s">
        <v>314</v>
      </c>
      <c r="D47" s="53" t="s">
        <v>315</v>
      </c>
      <c r="E47" s="53" t="s">
        <v>316</v>
      </c>
      <c r="F47" s="53" t="s">
        <v>317</v>
      </c>
      <c r="G47" s="53" t="s">
        <v>118</v>
      </c>
    </row>
    <row r="48" spans="1:7" ht="36.75" customHeight="1">
      <c r="A48" s="52">
        <v>47</v>
      </c>
      <c r="B48" s="52" t="s">
        <v>187</v>
      </c>
      <c r="C48" s="53" t="s">
        <v>318</v>
      </c>
      <c r="D48" s="53" t="s">
        <v>319</v>
      </c>
      <c r="E48" s="53" t="s">
        <v>320</v>
      </c>
      <c r="F48" s="53" t="s">
        <v>321</v>
      </c>
      <c r="G48" s="53" t="s">
        <v>118</v>
      </c>
    </row>
    <row r="49" spans="1:7" ht="36.75" customHeight="1">
      <c r="A49" s="52">
        <v>48</v>
      </c>
      <c r="B49" s="52" t="s">
        <v>322</v>
      </c>
      <c r="C49" s="53" t="s">
        <v>323</v>
      </c>
      <c r="D49" s="53" t="s">
        <v>324</v>
      </c>
      <c r="E49" s="53" t="s">
        <v>201</v>
      </c>
      <c r="F49" s="53" t="s">
        <v>325</v>
      </c>
      <c r="G49" s="53" t="s">
        <v>204</v>
      </c>
    </row>
    <row r="50" spans="1:7" ht="36.75" customHeight="1">
      <c r="A50" s="52">
        <v>49</v>
      </c>
      <c r="B50" s="52" t="s">
        <v>322</v>
      </c>
      <c r="C50" s="53" t="s">
        <v>326</v>
      </c>
      <c r="D50" s="53" t="s">
        <v>327</v>
      </c>
      <c r="E50" s="53" t="s">
        <v>201</v>
      </c>
      <c r="F50" s="53" t="s">
        <v>328</v>
      </c>
      <c r="G50" s="53" t="s">
        <v>204</v>
      </c>
    </row>
    <row r="51" spans="1:7" ht="36.75" customHeight="1">
      <c r="A51" s="52">
        <v>50</v>
      </c>
      <c r="B51" s="52" t="s">
        <v>322</v>
      </c>
      <c r="C51" s="53" t="s">
        <v>329</v>
      </c>
      <c r="D51" s="53" t="s">
        <v>330</v>
      </c>
      <c r="E51" s="53" t="s">
        <v>201</v>
      </c>
      <c r="F51" s="53" t="s">
        <v>331</v>
      </c>
      <c r="G51" s="53" t="s">
        <v>118</v>
      </c>
    </row>
    <row r="52" spans="1:7" ht="36.75" customHeight="1">
      <c r="A52" s="52">
        <v>51</v>
      </c>
      <c r="B52" s="52" t="s">
        <v>322</v>
      </c>
      <c r="C52" s="53" t="s">
        <v>332</v>
      </c>
      <c r="D52" s="53" t="s">
        <v>333</v>
      </c>
      <c r="E52" s="53" t="s">
        <v>334</v>
      </c>
      <c r="F52" s="53" t="s">
        <v>335</v>
      </c>
      <c r="G52" s="53" t="s">
        <v>118</v>
      </c>
    </row>
    <row r="53" spans="1:7" ht="36.75" customHeight="1">
      <c r="A53" s="52">
        <v>52</v>
      </c>
      <c r="B53" s="52" t="s">
        <v>322</v>
      </c>
      <c r="C53" s="53" t="s">
        <v>336</v>
      </c>
      <c r="D53" s="53" t="s">
        <v>337</v>
      </c>
      <c r="E53" s="53" t="s">
        <v>191</v>
      </c>
      <c r="F53" s="53" t="s">
        <v>338</v>
      </c>
      <c r="G53" s="53" t="s">
        <v>204</v>
      </c>
    </row>
    <row r="54" spans="1:7" ht="36.75" customHeight="1">
      <c r="A54" s="52">
        <v>53</v>
      </c>
      <c r="B54" s="52" t="s">
        <v>322</v>
      </c>
      <c r="C54" s="53" t="s">
        <v>339</v>
      </c>
      <c r="D54" s="53" t="s">
        <v>340</v>
      </c>
      <c r="E54" s="53" t="s">
        <v>341</v>
      </c>
      <c r="F54" s="53" t="s">
        <v>342</v>
      </c>
      <c r="G54" s="53" t="s">
        <v>204</v>
      </c>
    </row>
    <row r="55" spans="1:7" ht="36.75" customHeight="1">
      <c r="A55" s="52">
        <v>54</v>
      </c>
      <c r="B55" s="52" t="s">
        <v>322</v>
      </c>
      <c r="C55" s="53" t="s">
        <v>343</v>
      </c>
      <c r="D55" s="53" t="s">
        <v>344</v>
      </c>
      <c r="E55" s="53" t="s">
        <v>191</v>
      </c>
      <c r="F55" s="53" t="s">
        <v>345</v>
      </c>
      <c r="G55" s="53" t="s">
        <v>118</v>
      </c>
    </row>
    <row r="56" spans="1:7" ht="36.75" customHeight="1">
      <c r="A56" s="52">
        <v>55</v>
      </c>
      <c r="B56" s="52" t="s">
        <v>322</v>
      </c>
      <c r="C56" s="53" t="s">
        <v>346</v>
      </c>
      <c r="D56" s="53" t="s">
        <v>347</v>
      </c>
      <c r="E56" s="53" t="s">
        <v>348</v>
      </c>
      <c r="F56" s="53" t="s">
        <v>349</v>
      </c>
      <c r="G56" s="53" t="s">
        <v>118</v>
      </c>
    </row>
    <row r="57" spans="1:7" ht="36.75" customHeight="1">
      <c r="A57" s="52">
        <v>56</v>
      </c>
      <c r="B57" s="52" t="s">
        <v>322</v>
      </c>
      <c r="C57" s="53" t="s">
        <v>350</v>
      </c>
      <c r="D57" s="53" t="s">
        <v>351</v>
      </c>
      <c r="E57" s="53" t="s">
        <v>352</v>
      </c>
      <c r="F57" s="53" t="s">
        <v>353</v>
      </c>
      <c r="G57" s="53" t="s">
        <v>118</v>
      </c>
    </row>
    <row r="58" spans="1:7" ht="36.75" customHeight="1">
      <c r="A58" s="52">
        <v>57</v>
      </c>
      <c r="B58" s="52" t="s">
        <v>322</v>
      </c>
      <c r="C58" s="53" t="s">
        <v>354</v>
      </c>
      <c r="D58" s="53" t="s">
        <v>355</v>
      </c>
      <c r="E58" s="53" t="s">
        <v>356</v>
      </c>
      <c r="F58" s="53" t="s">
        <v>357</v>
      </c>
      <c r="G58" s="53" t="s">
        <v>204</v>
      </c>
    </row>
    <row r="59" spans="1:7" ht="36.75" customHeight="1">
      <c r="A59" s="52">
        <v>58</v>
      </c>
      <c r="B59" s="52" t="s">
        <v>322</v>
      </c>
      <c r="C59" s="53" t="s">
        <v>358</v>
      </c>
      <c r="D59" s="53" t="s">
        <v>359</v>
      </c>
      <c r="E59" s="53" t="s">
        <v>194</v>
      </c>
      <c r="F59" s="53" t="s">
        <v>360</v>
      </c>
      <c r="G59" s="53" t="s">
        <v>204</v>
      </c>
    </row>
    <row r="60" spans="1:7" ht="36.75" customHeight="1">
      <c r="A60" s="52">
        <v>59</v>
      </c>
      <c r="B60" s="52" t="s">
        <v>322</v>
      </c>
      <c r="C60" s="53" t="s">
        <v>361</v>
      </c>
      <c r="D60" s="53" t="s">
        <v>362</v>
      </c>
      <c r="E60" s="53" t="s">
        <v>194</v>
      </c>
      <c r="F60" s="53" t="s">
        <v>363</v>
      </c>
      <c r="G60" s="53" t="s">
        <v>204</v>
      </c>
    </row>
    <row r="61" spans="1:7" ht="36.75" customHeight="1">
      <c r="A61" s="52">
        <v>60</v>
      </c>
      <c r="B61" s="52" t="s">
        <v>322</v>
      </c>
      <c r="C61" s="53" t="s">
        <v>364</v>
      </c>
      <c r="D61" s="53" t="s">
        <v>365</v>
      </c>
      <c r="E61" s="53" t="s">
        <v>194</v>
      </c>
      <c r="F61" s="53" t="s">
        <v>366</v>
      </c>
      <c r="G61" s="53" t="s">
        <v>204</v>
      </c>
    </row>
    <row r="62" spans="1:7" ht="36.75" customHeight="1">
      <c r="A62" s="52">
        <v>61</v>
      </c>
      <c r="B62" s="52" t="s">
        <v>322</v>
      </c>
      <c r="C62" s="53" t="s">
        <v>367</v>
      </c>
      <c r="D62" s="53" t="s">
        <v>368</v>
      </c>
      <c r="E62" s="53" t="s">
        <v>369</v>
      </c>
      <c r="F62" s="53" t="s">
        <v>349</v>
      </c>
      <c r="G62" s="53" t="s">
        <v>118</v>
      </c>
    </row>
    <row r="63" spans="1:7" ht="36.75" customHeight="1">
      <c r="A63" s="52">
        <v>62</v>
      </c>
      <c r="B63" s="52" t="s">
        <v>322</v>
      </c>
      <c r="C63" s="53" t="s">
        <v>370</v>
      </c>
      <c r="D63" s="53" t="s">
        <v>371</v>
      </c>
      <c r="E63" s="53" t="s">
        <v>194</v>
      </c>
      <c r="F63" s="53" t="s">
        <v>372</v>
      </c>
      <c r="G63" s="53" t="s">
        <v>118</v>
      </c>
    </row>
    <row r="64" spans="1:7" ht="36.75" customHeight="1">
      <c r="A64" s="52">
        <v>63</v>
      </c>
      <c r="B64" s="52" t="s">
        <v>322</v>
      </c>
      <c r="C64" s="53" t="s">
        <v>373</v>
      </c>
      <c r="D64" s="53" t="s">
        <v>374</v>
      </c>
      <c r="E64" s="53" t="s">
        <v>205</v>
      </c>
      <c r="F64" s="53" t="s">
        <v>375</v>
      </c>
      <c r="G64" s="53" t="s">
        <v>204</v>
      </c>
    </row>
    <row r="65" spans="1:7" ht="36.75" customHeight="1">
      <c r="A65" s="52">
        <v>64</v>
      </c>
      <c r="B65" s="52" t="s">
        <v>322</v>
      </c>
      <c r="C65" s="53" t="s">
        <v>376</v>
      </c>
      <c r="D65" s="53" t="s">
        <v>377</v>
      </c>
      <c r="E65" s="53" t="s">
        <v>205</v>
      </c>
      <c r="F65" s="53" t="s">
        <v>378</v>
      </c>
      <c r="G65" s="53" t="s">
        <v>204</v>
      </c>
    </row>
    <row r="66" spans="1:7" ht="36.75" customHeight="1">
      <c r="A66" s="52">
        <v>65</v>
      </c>
      <c r="B66" s="52" t="s">
        <v>322</v>
      </c>
      <c r="C66" s="53" t="s">
        <v>379</v>
      </c>
      <c r="D66" s="53" t="s">
        <v>380</v>
      </c>
      <c r="E66" s="53" t="s">
        <v>381</v>
      </c>
      <c r="F66" s="53" t="s">
        <v>382</v>
      </c>
      <c r="G66" s="53" t="s">
        <v>118</v>
      </c>
    </row>
    <row r="67" spans="1:7" ht="36.75" customHeight="1">
      <c r="A67" s="52">
        <v>66</v>
      </c>
      <c r="B67" s="52" t="s">
        <v>322</v>
      </c>
      <c r="C67" s="53" t="s">
        <v>383</v>
      </c>
      <c r="D67" s="53" t="s">
        <v>384</v>
      </c>
      <c r="E67" s="53" t="s">
        <v>205</v>
      </c>
      <c r="F67" s="53" t="s">
        <v>385</v>
      </c>
      <c r="G67" s="53" t="s">
        <v>204</v>
      </c>
    </row>
    <row r="68" spans="1:7" ht="36.75" customHeight="1">
      <c r="A68" s="52">
        <v>67</v>
      </c>
      <c r="B68" s="52" t="s">
        <v>322</v>
      </c>
      <c r="C68" s="53" t="s">
        <v>386</v>
      </c>
      <c r="D68" s="53" t="s">
        <v>387</v>
      </c>
      <c r="E68" s="53" t="s">
        <v>388</v>
      </c>
      <c r="F68" s="53" t="s">
        <v>360</v>
      </c>
      <c r="G68" s="53" t="s">
        <v>204</v>
      </c>
    </row>
    <row r="69" spans="1:7" ht="36.75" customHeight="1">
      <c r="A69" s="52">
        <v>68</v>
      </c>
      <c r="B69" s="52" t="s">
        <v>322</v>
      </c>
      <c r="C69" s="53" t="s">
        <v>389</v>
      </c>
      <c r="D69" s="53" t="s">
        <v>390</v>
      </c>
      <c r="E69" s="53" t="s">
        <v>391</v>
      </c>
      <c r="F69" s="53" t="s">
        <v>392</v>
      </c>
      <c r="G69" s="53" t="s">
        <v>204</v>
      </c>
    </row>
    <row r="70" spans="1:7" ht="36.75" customHeight="1">
      <c r="A70" s="52">
        <v>69</v>
      </c>
      <c r="B70" s="52" t="s">
        <v>322</v>
      </c>
      <c r="C70" s="53" t="s">
        <v>393</v>
      </c>
      <c r="D70" s="53" t="s">
        <v>394</v>
      </c>
      <c r="E70" s="53" t="s">
        <v>391</v>
      </c>
      <c r="F70" s="53" t="s">
        <v>395</v>
      </c>
      <c r="G70" s="53" t="s">
        <v>204</v>
      </c>
    </row>
    <row r="71" spans="1:7" ht="36.75" customHeight="1">
      <c r="A71" s="52">
        <v>70</v>
      </c>
      <c r="B71" s="52" t="s">
        <v>322</v>
      </c>
      <c r="C71" s="53" t="s">
        <v>396</v>
      </c>
      <c r="D71" s="53" t="s">
        <v>397</v>
      </c>
      <c r="E71" s="53" t="s">
        <v>391</v>
      </c>
      <c r="F71" s="53" t="s">
        <v>398</v>
      </c>
      <c r="G71" s="53" t="s">
        <v>204</v>
      </c>
    </row>
    <row r="72" spans="1:7" ht="36.75" customHeight="1">
      <c r="A72" s="52">
        <v>71</v>
      </c>
      <c r="B72" s="52" t="s">
        <v>322</v>
      </c>
      <c r="C72" s="53" t="s">
        <v>399</v>
      </c>
      <c r="D72" s="53" t="s">
        <v>400</v>
      </c>
      <c r="E72" s="53" t="s">
        <v>391</v>
      </c>
      <c r="F72" s="53" t="s">
        <v>401</v>
      </c>
      <c r="G72" s="53" t="s">
        <v>118</v>
      </c>
    </row>
    <row r="73" spans="1:7" ht="36.75" customHeight="1">
      <c r="A73" s="52">
        <v>72</v>
      </c>
      <c r="B73" s="52" t="s">
        <v>322</v>
      </c>
      <c r="C73" s="53" t="s">
        <v>402</v>
      </c>
      <c r="D73" s="53" t="s">
        <v>403</v>
      </c>
      <c r="E73" s="53" t="s">
        <v>235</v>
      </c>
      <c r="F73" s="53" t="s">
        <v>404</v>
      </c>
      <c r="G73" s="53" t="s">
        <v>118</v>
      </c>
    </row>
    <row r="74" spans="1:7" ht="36.75" customHeight="1">
      <c r="A74" s="52">
        <v>73</v>
      </c>
      <c r="B74" s="52" t="s">
        <v>322</v>
      </c>
      <c r="C74" s="53" t="s">
        <v>405</v>
      </c>
      <c r="D74" s="53" t="s">
        <v>406</v>
      </c>
      <c r="E74" s="53" t="s">
        <v>246</v>
      </c>
      <c r="F74" s="53" t="s">
        <v>407</v>
      </c>
      <c r="G74" s="53" t="s">
        <v>204</v>
      </c>
    </row>
    <row r="75" spans="1:7" ht="36.75" customHeight="1">
      <c r="A75" s="52">
        <v>74</v>
      </c>
      <c r="B75" s="52" t="s">
        <v>322</v>
      </c>
      <c r="C75" s="53" t="s">
        <v>408</v>
      </c>
      <c r="D75" s="53" t="s">
        <v>409</v>
      </c>
      <c r="E75" s="53" t="s">
        <v>410</v>
      </c>
      <c r="F75" s="53" t="s">
        <v>411</v>
      </c>
      <c r="G75" s="53" t="s">
        <v>204</v>
      </c>
    </row>
    <row r="76" spans="1:7" ht="36.75" customHeight="1">
      <c r="A76" s="52">
        <v>75</v>
      </c>
      <c r="B76" s="52" t="s">
        <v>322</v>
      </c>
      <c r="C76" s="53" t="s">
        <v>412</v>
      </c>
      <c r="D76" s="53" t="s">
        <v>413</v>
      </c>
      <c r="E76" s="53" t="s">
        <v>410</v>
      </c>
      <c r="F76" s="53" t="s">
        <v>414</v>
      </c>
      <c r="G76" s="53" t="s">
        <v>204</v>
      </c>
    </row>
    <row r="77" spans="1:7" ht="36.75" customHeight="1">
      <c r="A77" s="52">
        <v>76</v>
      </c>
      <c r="B77" s="52" t="s">
        <v>322</v>
      </c>
      <c r="C77" s="53" t="s">
        <v>415</v>
      </c>
      <c r="D77" s="53" t="s">
        <v>416</v>
      </c>
      <c r="E77" s="53" t="s">
        <v>253</v>
      </c>
      <c r="F77" s="53" t="s">
        <v>417</v>
      </c>
      <c r="G77" s="53" t="s">
        <v>204</v>
      </c>
    </row>
    <row r="78" spans="1:7" ht="36.75" customHeight="1">
      <c r="A78" s="52">
        <v>77</v>
      </c>
      <c r="B78" s="52" t="s">
        <v>322</v>
      </c>
      <c r="C78" s="53" t="s">
        <v>418</v>
      </c>
      <c r="D78" s="53" t="s">
        <v>419</v>
      </c>
      <c r="E78" s="53" t="s">
        <v>253</v>
      </c>
      <c r="F78" s="53" t="s">
        <v>420</v>
      </c>
      <c r="G78" s="53" t="s">
        <v>204</v>
      </c>
    </row>
    <row r="79" spans="1:7" ht="36.75" customHeight="1">
      <c r="A79" s="52">
        <v>78</v>
      </c>
      <c r="B79" s="52" t="s">
        <v>322</v>
      </c>
      <c r="C79" s="53" t="s">
        <v>421</v>
      </c>
      <c r="D79" s="53" t="s">
        <v>422</v>
      </c>
      <c r="E79" s="53" t="s">
        <v>423</v>
      </c>
      <c r="F79" s="53" t="s">
        <v>424</v>
      </c>
      <c r="G79" s="53" t="s">
        <v>118</v>
      </c>
    </row>
    <row r="80" spans="1:7" ht="36.75" customHeight="1">
      <c r="A80" s="52">
        <v>79</v>
      </c>
      <c r="B80" s="52" t="s">
        <v>322</v>
      </c>
      <c r="C80" s="53" t="s">
        <v>425</v>
      </c>
      <c r="D80" s="53" t="s">
        <v>426</v>
      </c>
      <c r="E80" s="53" t="s">
        <v>423</v>
      </c>
      <c r="F80" s="53" t="s">
        <v>427</v>
      </c>
      <c r="G80" s="53" t="s">
        <v>204</v>
      </c>
    </row>
    <row r="81" spans="1:7" ht="36.75" customHeight="1">
      <c r="A81" s="52">
        <v>80</v>
      </c>
      <c r="B81" s="52" t="s">
        <v>322</v>
      </c>
      <c r="C81" s="53" t="s">
        <v>428</v>
      </c>
      <c r="D81" s="53" t="s">
        <v>429</v>
      </c>
      <c r="E81" s="53" t="s">
        <v>423</v>
      </c>
      <c r="F81" s="53" t="s">
        <v>430</v>
      </c>
      <c r="G81" s="53" t="s">
        <v>118</v>
      </c>
    </row>
    <row r="82" spans="1:7" ht="36.75" customHeight="1">
      <c r="A82" s="52">
        <v>81</v>
      </c>
      <c r="B82" s="52" t="s">
        <v>322</v>
      </c>
      <c r="C82" s="53" t="s">
        <v>431</v>
      </c>
      <c r="D82" s="53" t="s">
        <v>432</v>
      </c>
      <c r="E82" s="53" t="s">
        <v>433</v>
      </c>
      <c r="F82" s="53" t="s">
        <v>434</v>
      </c>
      <c r="G82" s="53" t="s">
        <v>118</v>
      </c>
    </row>
    <row r="83" spans="1:7" ht="36.75" customHeight="1">
      <c r="A83" s="52">
        <v>82</v>
      </c>
      <c r="B83" s="52" t="s">
        <v>322</v>
      </c>
      <c r="C83" s="53" t="s">
        <v>435</v>
      </c>
      <c r="D83" s="53" t="s">
        <v>436</v>
      </c>
      <c r="E83" s="53" t="s">
        <v>267</v>
      </c>
      <c r="F83" s="53" t="s">
        <v>430</v>
      </c>
      <c r="G83" s="53" t="s">
        <v>118</v>
      </c>
    </row>
    <row r="84" spans="1:7" ht="36.75" customHeight="1">
      <c r="A84" s="52">
        <v>83</v>
      </c>
      <c r="B84" s="52" t="s">
        <v>322</v>
      </c>
      <c r="C84" s="53" t="s">
        <v>437</v>
      </c>
      <c r="D84" s="53" t="s">
        <v>438</v>
      </c>
      <c r="E84" s="53" t="s">
        <v>271</v>
      </c>
      <c r="F84" s="53" t="s">
        <v>439</v>
      </c>
      <c r="G84" s="53" t="s">
        <v>204</v>
      </c>
    </row>
    <row r="85" spans="1:7" ht="36.75" customHeight="1">
      <c r="A85" s="52">
        <v>84</v>
      </c>
      <c r="B85" s="52" t="s">
        <v>322</v>
      </c>
      <c r="C85" s="53" t="s">
        <v>440</v>
      </c>
      <c r="D85" s="53" t="s">
        <v>441</v>
      </c>
      <c r="E85" s="53" t="s">
        <v>280</v>
      </c>
      <c r="F85" s="53" t="s">
        <v>442</v>
      </c>
      <c r="G85" s="53" t="s">
        <v>204</v>
      </c>
    </row>
    <row r="86" spans="1:7" ht="36.75" customHeight="1">
      <c r="A86" s="52">
        <v>85</v>
      </c>
      <c r="B86" s="52" t="s">
        <v>322</v>
      </c>
      <c r="C86" s="53" t="s">
        <v>443</v>
      </c>
      <c r="D86" s="53" t="s">
        <v>444</v>
      </c>
      <c r="E86" s="53" t="s">
        <v>271</v>
      </c>
      <c r="F86" s="53" t="s">
        <v>445</v>
      </c>
      <c r="G86" s="53" t="s">
        <v>204</v>
      </c>
    </row>
    <row r="87" spans="1:7" ht="36.75" customHeight="1">
      <c r="A87" s="52">
        <v>86</v>
      </c>
      <c r="B87" s="52" t="s">
        <v>322</v>
      </c>
      <c r="C87" s="53" t="s">
        <v>446</v>
      </c>
      <c r="D87" s="53" t="s">
        <v>447</v>
      </c>
      <c r="E87" s="53" t="s">
        <v>271</v>
      </c>
      <c r="F87" s="53" t="s">
        <v>448</v>
      </c>
      <c r="G87" s="53" t="s">
        <v>118</v>
      </c>
    </row>
    <row r="88" spans="1:7" ht="36.75" customHeight="1">
      <c r="A88" s="52">
        <v>87</v>
      </c>
      <c r="B88" s="52" t="s">
        <v>322</v>
      </c>
      <c r="C88" s="53" t="s">
        <v>449</v>
      </c>
      <c r="D88" s="53" t="s">
        <v>450</v>
      </c>
      <c r="E88" s="53" t="s">
        <v>280</v>
      </c>
      <c r="F88" s="53" t="s">
        <v>451</v>
      </c>
      <c r="G88" s="53" t="s">
        <v>118</v>
      </c>
    </row>
    <row r="89" spans="1:7" ht="36.75" customHeight="1">
      <c r="A89" s="52">
        <v>88</v>
      </c>
      <c r="B89" s="52" t="s">
        <v>322</v>
      </c>
      <c r="C89" s="53" t="s">
        <v>452</v>
      </c>
      <c r="D89" s="53" t="s">
        <v>453</v>
      </c>
      <c r="E89" s="53" t="s">
        <v>271</v>
      </c>
      <c r="F89" s="53" t="s">
        <v>454</v>
      </c>
      <c r="G89" s="53" t="s">
        <v>204</v>
      </c>
    </row>
    <row r="90" spans="1:7" ht="36.75" customHeight="1">
      <c r="A90" s="52">
        <v>89</v>
      </c>
      <c r="B90" s="52" t="s">
        <v>322</v>
      </c>
      <c r="C90" s="53" t="s">
        <v>455</v>
      </c>
      <c r="D90" s="53" t="s">
        <v>456</v>
      </c>
      <c r="E90" s="53" t="s">
        <v>457</v>
      </c>
      <c r="F90" s="53" t="s">
        <v>458</v>
      </c>
      <c r="G90" s="53" t="s">
        <v>204</v>
      </c>
    </row>
    <row r="91" spans="1:7" ht="36.75" customHeight="1">
      <c r="A91" s="52">
        <v>90</v>
      </c>
      <c r="B91" s="52" t="s">
        <v>322</v>
      </c>
      <c r="C91" s="53" t="s">
        <v>459</v>
      </c>
      <c r="D91" s="53" t="s">
        <v>460</v>
      </c>
      <c r="E91" s="53" t="s">
        <v>461</v>
      </c>
      <c r="F91" s="53" t="s">
        <v>439</v>
      </c>
      <c r="G91" s="53" t="s">
        <v>204</v>
      </c>
    </row>
    <row r="92" spans="1:7" ht="36.75" customHeight="1">
      <c r="A92" s="52">
        <v>91</v>
      </c>
      <c r="B92" s="52" t="s">
        <v>322</v>
      </c>
      <c r="C92" s="53" t="s">
        <v>462</v>
      </c>
      <c r="D92" s="53" t="s">
        <v>463</v>
      </c>
      <c r="E92" s="53" t="s">
        <v>302</v>
      </c>
      <c r="F92" s="53" t="s">
        <v>464</v>
      </c>
      <c r="G92" s="53" t="s">
        <v>204</v>
      </c>
    </row>
    <row r="93" spans="1:7" ht="36.75" customHeight="1">
      <c r="A93" s="52">
        <v>92</v>
      </c>
      <c r="B93" s="52" t="s">
        <v>322</v>
      </c>
      <c r="C93" s="53" t="s">
        <v>465</v>
      </c>
      <c r="D93" s="53" t="s">
        <v>466</v>
      </c>
      <c r="E93" s="53" t="s">
        <v>467</v>
      </c>
      <c r="F93" s="53" t="s">
        <v>468</v>
      </c>
      <c r="G93" s="53" t="s">
        <v>204</v>
      </c>
    </row>
    <row r="94" spans="1:7" ht="36.75" customHeight="1">
      <c r="A94" s="52">
        <v>93</v>
      </c>
      <c r="B94" s="52" t="s">
        <v>322</v>
      </c>
      <c r="C94" s="53" t="s">
        <v>469</v>
      </c>
      <c r="D94" s="53" t="s">
        <v>470</v>
      </c>
      <c r="E94" s="53" t="s">
        <v>291</v>
      </c>
      <c r="F94" s="53" t="s">
        <v>471</v>
      </c>
      <c r="G94" s="53" t="s">
        <v>204</v>
      </c>
    </row>
    <row r="95" spans="1:7" ht="36.75" customHeight="1">
      <c r="A95" s="52">
        <v>94</v>
      </c>
      <c r="B95" s="52" t="s">
        <v>322</v>
      </c>
      <c r="C95" s="53" t="s">
        <v>472</v>
      </c>
      <c r="D95" s="53" t="s">
        <v>473</v>
      </c>
      <c r="E95" s="53" t="s">
        <v>467</v>
      </c>
      <c r="F95" s="53" t="s">
        <v>474</v>
      </c>
      <c r="G95" s="53" t="s">
        <v>204</v>
      </c>
    </row>
    <row r="96" spans="1:7" ht="36.75" customHeight="1">
      <c r="A96" s="52">
        <v>95</v>
      </c>
      <c r="B96" s="52" t="s">
        <v>322</v>
      </c>
      <c r="C96" s="53" t="s">
        <v>475</v>
      </c>
      <c r="D96" s="53" t="s">
        <v>476</v>
      </c>
      <c r="E96" s="53" t="s">
        <v>298</v>
      </c>
      <c r="F96" s="53" t="s">
        <v>477</v>
      </c>
      <c r="G96" s="53" t="s">
        <v>204</v>
      </c>
    </row>
    <row r="97" spans="1:7" ht="36.75" customHeight="1">
      <c r="A97" s="52">
        <v>96</v>
      </c>
      <c r="B97" s="52" t="s">
        <v>322</v>
      </c>
      <c r="C97" s="53" t="s">
        <v>478</v>
      </c>
      <c r="D97" s="53" t="s">
        <v>479</v>
      </c>
      <c r="E97" s="53" t="s">
        <v>306</v>
      </c>
      <c r="F97" s="53" t="s">
        <v>480</v>
      </c>
      <c r="G97" s="53" t="s">
        <v>118</v>
      </c>
    </row>
    <row r="98" spans="1:7" ht="36.75" customHeight="1">
      <c r="A98" s="52">
        <v>97</v>
      </c>
      <c r="B98" s="52" t="s">
        <v>322</v>
      </c>
      <c r="C98" s="53" t="s">
        <v>481</v>
      </c>
      <c r="D98" s="53" t="s">
        <v>482</v>
      </c>
      <c r="E98" s="53" t="s">
        <v>309</v>
      </c>
      <c r="F98" s="53" t="s">
        <v>483</v>
      </c>
      <c r="G98" s="53" t="s">
        <v>118</v>
      </c>
    </row>
    <row r="99" spans="1:7" ht="36.75" customHeight="1">
      <c r="A99" s="52">
        <v>98</v>
      </c>
      <c r="B99" s="52" t="s">
        <v>322</v>
      </c>
      <c r="C99" s="53" t="s">
        <v>484</v>
      </c>
      <c r="D99" s="53" t="s">
        <v>485</v>
      </c>
      <c r="E99" s="53" t="s">
        <v>313</v>
      </c>
      <c r="F99" s="53" t="s">
        <v>486</v>
      </c>
      <c r="G99" s="53" t="s">
        <v>118</v>
      </c>
    </row>
    <row r="100" spans="1:7" ht="36.75" customHeight="1">
      <c r="A100" s="52">
        <v>99</v>
      </c>
      <c r="B100" s="52" t="s">
        <v>322</v>
      </c>
      <c r="C100" s="53" t="s">
        <v>487</v>
      </c>
      <c r="D100" s="53" t="s">
        <v>488</v>
      </c>
      <c r="E100" s="53" t="s">
        <v>489</v>
      </c>
      <c r="F100" s="53" t="s">
        <v>490</v>
      </c>
      <c r="G100" s="53" t="s">
        <v>118</v>
      </c>
    </row>
    <row r="101" spans="1:7" ht="36.75" customHeight="1">
      <c r="A101" s="52">
        <v>100</v>
      </c>
      <c r="B101" s="52" t="s">
        <v>322</v>
      </c>
      <c r="C101" s="53" t="s">
        <v>491</v>
      </c>
      <c r="D101" s="53" t="s">
        <v>492</v>
      </c>
      <c r="E101" s="53" t="s">
        <v>313</v>
      </c>
      <c r="F101" s="53" t="s">
        <v>493</v>
      </c>
      <c r="G101" s="53" t="s">
        <v>118</v>
      </c>
    </row>
    <row r="102" spans="1:7" ht="36.75" customHeight="1">
      <c r="A102" s="52">
        <v>101</v>
      </c>
      <c r="B102" s="52" t="s">
        <v>322</v>
      </c>
      <c r="C102" s="53" t="s">
        <v>494</v>
      </c>
      <c r="D102" s="53" t="s">
        <v>495</v>
      </c>
      <c r="E102" s="53" t="s">
        <v>317</v>
      </c>
      <c r="F102" s="53" t="s">
        <v>496</v>
      </c>
      <c r="G102" s="53" t="s">
        <v>118</v>
      </c>
    </row>
    <row r="103" spans="1:7" ht="36.75" customHeight="1">
      <c r="A103" s="52">
        <v>102</v>
      </c>
      <c r="B103" s="52" t="s">
        <v>322</v>
      </c>
      <c r="C103" s="53" t="s">
        <v>497</v>
      </c>
      <c r="D103" s="53" t="s">
        <v>498</v>
      </c>
      <c r="E103" s="53" t="s">
        <v>321</v>
      </c>
      <c r="F103" s="53" t="s">
        <v>499</v>
      </c>
      <c r="G103" s="53" t="s">
        <v>118</v>
      </c>
    </row>
    <row r="104" spans="1:7" ht="36.75" customHeight="1">
      <c r="A104" s="52">
        <v>103</v>
      </c>
      <c r="B104" s="52" t="s">
        <v>500</v>
      </c>
      <c r="C104" s="53" t="s">
        <v>501</v>
      </c>
      <c r="D104" s="53" t="s">
        <v>502</v>
      </c>
      <c r="E104" s="53" t="s">
        <v>503</v>
      </c>
      <c r="F104" s="53" t="s">
        <v>504</v>
      </c>
      <c r="G104" s="53" t="s">
        <v>118</v>
      </c>
    </row>
    <row r="105" spans="1:7" ht="36.75" customHeight="1">
      <c r="A105" s="52">
        <v>104</v>
      </c>
      <c r="B105" s="52" t="s">
        <v>500</v>
      </c>
      <c r="C105" s="53" t="s">
        <v>505</v>
      </c>
      <c r="D105" s="53" t="s">
        <v>506</v>
      </c>
      <c r="E105" s="53" t="s">
        <v>503</v>
      </c>
      <c r="F105" s="53" t="s">
        <v>507</v>
      </c>
      <c r="G105" s="53" t="s">
        <v>118</v>
      </c>
    </row>
    <row r="106" spans="1:7" ht="36.75" customHeight="1">
      <c r="A106" s="52">
        <v>105</v>
      </c>
      <c r="B106" s="52" t="s">
        <v>500</v>
      </c>
      <c r="C106" s="53" t="s">
        <v>508</v>
      </c>
      <c r="D106" s="53" t="s">
        <v>509</v>
      </c>
      <c r="E106" s="53" t="s">
        <v>510</v>
      </c>
      <c r="F106" s="53" t="s">
        <v>511</v>
      </c>
      <c r="G106" s="53" t="s">
        <v>118</v>
      </c>
    </row>
    <row r="107" spans="1:7" ht="36.75" customHeight="1">
      <c r="A107" s="52">
        <v>106</v>
      </c>
      <c r="B107" s="52" t="s">
        <v>500</v>
      </c>
      <c r="C107" s="53" t="s">
        <v>512</v>
      </c>
      <c r="D107" s="53" t="s">
        <v>513</v>
      </c>
      <c r="E107" s="53" t="s">
        <v>510</v>
      </c>
      <c r="F107" s="53" t="s">
        <v>507</v>
      </c>
      <c r="G107" s="53" t="s">
        <v>118</v>
      </c>
    </row>
    <row r="108" spans="1:7" ht="36.75" customHeight="1">
      <c r="A108" s="52">
        <v>107</v>
      </c>
      <c r="B108" s="52" t="s">
        <v>500</v>
      </c>
      <c r="C108" s="53" t="s">
        <v>514</v>
      </c>
      <c r="D108" s="53" t="s">
        <v>515</v>
      </c>
      <c r="E108" s="53" t="s">
        <v>510</v>
      </c>
      <c r="F108" s="53" t="s">
        <v>516</v>
      </c>
      <c r="G108" s="53" t="s">
        <v>118</v>
      </c>
    </row>
    <row r="109" spans="1:7" ht="36.75" customHeight="1">
      <c r="A109" s="52">
        <v>108</v>
      </c>
      <c r="B109" s="52" t="s">
        <v>500</v>
      </c>
      <c r="C109" s="53" t="s">
        <v>517</v>
      </c>
      <c r="D109" s="53" t="s">
        <v>518</v>
      </c>
      <c r="E109" s="53" t="s">
        <v>519</v>
      </c>
      <c r="F109" s="53" t="s">
        <v>520</v>
      </c>
      <c r="G109" s="53" t="s">
        <v>118</v>
      </c>
    </row>
    <row r="110" spans="1:7" ht="36.75" customHeight="1">
      <c r="A110" s="52">
        <v>109</v>
      </c>
      <c r="B110" s="52" t="s">
        <v>500</v>
      </c>
      <c r="C110" s="53" t="s">
        <v>521</v>
      </c>
      <c r="D110" s="53" t="s">
        <v>522</v>
      </c>
      <c r="E110" s="53" t="s">
        <v>523</v>
      </c>
      <c r="F110" s="53" t="s">
        <v>524</v>
      </c>
      <c r="G110" s="53" t="s">
        <v>118</v>
      </c>
    </row>
    <row r="111" spans="1:7" ht="36.75" customHeight="1">
      <c r="A111" s="52">
        <v>110</v>
      </c>
      <c r="B111" s="52" t="s">
        <v>500</v>
      </c>
      <c r="C111" s="53" t="s">
        <v>525</v>
      </c>
      <c r="D111" s="53" t="s">
        <v>526</v>
      </c>
      <c r="E111" s="53" t="s">
        <v>523</v>
      </c>
      <c r="F111" s="53" t="s">
        <v>527</v>
      </c>
      <c r="G111" s="53" t="s">
        <v>118</v>
      </c>
    </row>
    <row r="112" spans="1:7" ht="36.75" customHeight="1">
      <c r="A112" s="52">
        <v>111</v>
      </c>
      <c r="B112" s="52" t="s">
        <v>500</v>
      </c>
      <c r="C112" s="53" t="s">
        <v>528</v>
      </c>
      <c r="D112" s="53" t="s">
        <v>529</v>
      </c>
      <c r="E112" s="53" t="s">
        <v>530</v>
      </c>
      <c r="F112" s="53" t="s">
        <v>531</v>
      </c>
      <c r="G112" s="53" t="s">
        <v>118</v>
      </c>
    </row>
    <row r="113" spans="1:7" ht="36.75" customHeight="1">
      <c r="A113" s="52">
        <v>112</v>
      </c>
      <c r="B113" s="52" t="s">
        <v>500</v>
      </c>
      <c r="C113" s="53" t="s">
        <v>532</v>
      </c>
      <c r="D113" s="53" t="s">
        <v>533</v>
      </c>
      <c r="E113" s="53" t="s">
        <v>534</v>
      </c>
      <c r="F113" s="53" t="s">
        <v>535</v>
      </c>
      <c r="G113" s="53" t="s">
        <v>118</v>
      </c>
    </row>
    <row r="114" spans="1:7" ht="36.75" customHeight="1">
      <c r="A114" s="52">
        <v>113</v>
      </c>
      <c r="B114" s="52" t="s">
        <v>500</v>
      </c>
      <c r="C114" s="53" t="s">
        <v>536</v>
      </c>
      <c r="D114" s="53" t="s">
        <v>537</v>
      </c>
      <c r="E114" s="53" t="s">
        <v>404</v>
      </c>
      <c r="F114" s="53" t="s">
        <v>538</v>
      </c>
      <c r="G114" s="53" t="s">
        <v>118</v>
      </c>
    </row>
    <row r="115" spans="1:7" ht="36.75" customHeight="1">
      <c r="A115" s="52">
        <v>114</v>
      </c>
      <c r="B115" s="52" t="s">
        <v>500</v>
      </c>
      <c r="C115" s="53" t="s">
        <v>539</v>
      </c>
      <c r="D115" s="53" t="s">
        <v>540</v>
      </c>
      <c r="E115" s="53" t="s">
        <v>541</v>
      </c>
      <c r="F115" s="53" t="s">
        <v>542</v>
      </c>
      <c r="G115" s="53" t="s">
        <v>118</v>
      </c>
    </row>
    <row r="116" spans="1:7" ht="36.75" customHeight="1">
      <c r="A116" s="52">
        <v>115</v>
      </c>
      <c r="B116" s="52" t="s">
        <v>500</v>
      </c>
      <c r="C116" s="53" t="s">
        <v>543</v>
      </c>
      <c r="D116" s="53" t="s">
        <v>544</v>
      </c>
      <c r="E116" s="53" t="s">
        <v>545</v>
      </c>
      <c r="F116" s="53" t="s">
        <v>546</v>
      </c>
      <c r="G116" s="53" t="s">
        <v>118</v>
      </c>
    </row>
    <row r="117" spans="1:7" ht="36.75" customHeight="1">
      <c r="A117" s="52">
        <v>116</v>
      </c>
      <c r="B117" s="52" t="s">
        <v>500</v>
      </c>
      <c r="C117" s="53" t="s">
        <v>547</v>
      </c>
      <c r="D117" s="53" t="s">
        <v>548</v>
      </c>
      <c r="E117" s="53" t="s">
        <v>331</v>
      </c>
      <c r="F117" s="53" t="s">
        <v>549</v>
      </c>
      <c r="G117" s="53" t="s">
        <v>118</v>
      </c>
    </row>
    <row r="118" spans="1:7" ht="36.75" customHeight="1">
      <c r="A118" s="52">
        <v>117</v>
      </c>
      <c r="B118" s="52" t="s">
        <v>500</v>
      </c>
      <c r="C118" s="53" t="s">
        <v>550</v>
      </c>
      <c r="D118" s="53" t="s">
        <v>551</v>
      </c>
      <c r="E118" s="53" t="s">
        <v>552</v>
      </c>
      <c r="F118" s="53" t="s">
        <v>553</v>
      </c>
      <c r="G118" s="53" t="s">
        <v>118</v>
      </c>
    </row>
    <row r="119" spans="1:7" ht="36.75" customHeight="1">
      <c r="A119" s="52">
        <v>118</v>
      </c>
      <c r="B119" s="52" t="s">
        <v>500</v>
      </c>
      <c r="C119" s="53" t="s">
        <v>554</v>
      </c>
      <c r="D119" s="53" t="s">
        <v>555</v>
      </c>
      <c r="E119" s="53" t="s">
        <v>556</v>
      </c>
      <c r="F119" s="53" t="s">
        <v>557</v>
      </c>
      <c r="G119" s="53" t="s">
        <v>118</v>
      </c>
    </row>
    <row r="120" spans="1:7" ht="36.75" customHeight="1">
      <c r="A120" s="52">
        <v>119</v>
      </c>
      <c r="B120" s="52" t="s">
        <v>500</v>
      </c>
      <c r="C120" s="53" t="s">
        <v>558</v>
      </c>
      <c r="D120" s="53" t="s">
        <v>559</v>
      </c>
      <c r="E120" s="53" t="s">
        <v>382</v>
      </c>
      <c r="F120" s="53" t="s">
        <v>560</v>
      </c>
      <c r="G120" s="53" t="s">
        <v>118</v>
      </c>
    </row>
    <row r="121" spans="1:7" ht="36.75" customHeight="1">
      <c r="A121" s="52">
        <v>120</v>
      </c>
      <c r="B121" s="52" t="s">
        <v>500</v>
      </c>
      <c r="C121" s="53" t="s">
        <v>561</v>
      </c>
      <c r="D121" s="53" t="s">
        <v>562</v>
      </c>
      <c r="E121" s="53" t="s">
        <v>563</v>
      </c>
      <c r="F121" s="53" t="s">
        <v>564</v>
      </c>
      <c r="G121" s="53" t="s">
        <v>118</v>
      </c>
    </row>
    <row r="122" spans="1:7" ht="36.75" customHeight="1">
      <c r="A122" s="52">
        <v>121</v>
      </c>
      <c r="B122" s="52" t="s">
        <v>500</v>
      </c>
      <c r="C122" s="53" t="s">
        <v>565</v>
      </c>
      <c r="D122" s="53" t="s">
        <v>566</v>
      </c>
      <c r="E122" s="53" t="s">
        <v>567</v>
      </c>
      <c r="F122" s="53" t="s">
        <v>568</v>
      </c>
      <c r="G122" s="53" t="s">
        <v>118</v>
      </c>
    </row>
    <row r="123" spans="1:7" ht="36.75" customHeight="1">
      <c r="A123" s="52">
        <v>122</v>
      </c>
      <c r="B123" s="52" t="s">
        <v>500</v>
      </c>
      <c r="C123" s="53" t="s">
        <v>569</v>
      </c>
      <c r="D123" s="53" t="s">
        <v>570</v>
      </c>
      <c r="E123" s="53" t="s">
        <v>571</v>
      </c>
      <c r="F123" s="53" t="s">
        <v>572</v>
      </c>
      <c r="G123" s="53" t="s">
        <v>118</v>
      </c>
    </row>
    <row r="124" spans="1:7" ht="36.75" customHeight="1">
      <c r="A124" s="52">
        <v>123</v>
      </c>
      <c r="B124" s="52" t="s">
        <v>500</v>
      </c>
      <c r="C124" s="53" t="s">
        <v>573</v>
      </c>
      <c r="D124" s="53" t="s">
        <v>574</v>
      </c>
      <c r="E124" s="53" t="s">
        <v>575</v>
      </c>
      <c r="F124" s="53" t="s">
        <v>576</v>
      </c>
      <c r="G124" s="53" t="s">
        <v>118</v>
      </c>
    </row>
    <row r="125" spans="1:7" ht="36.75" customHeight="1">
      <c r="A125" s="52">
        <v>124</v>
      </c>
      <c r="B125" s="52" t="s">
        <v>500</v>
      </c>
      <c r="C125" s="53" t="s">
        <v>577</v>
      </c>
      <c r="D125" s="53" t="s">
        <v>578</v>
      </c>
      <c r="E125" s="53" t="s">
        <v>579</v>
      </c>
      <c r="F125" s="53" t="s">
        <v>580</v>
      </c>
      <c r="G125" s="53" t="s">
        <v>118</v>
      </c>
    </row>
    <row r="126" spans="1:7" ht="36.75" customHeight="1">
      <c r="A126" s="52">
        <v>125</v>
      </c>
      <c r="B126" s="52" t="s">
        <v>500</v>
      </c>
      <c r="C126" s="53" t="s">
        <v>581</v>
      </c>
      <c r="D126" s="53" t="s">
        <v>582</v>
      </c>
      <c r="E126" s="53" t="s">
        <v>575</v>
      </c>
      <c r="F126" s="53" t="s">
        <v>583</v>
      </c>
      <c r="G126" s="53" t="s">
        <v>118</v>
      </c>
    </row>
    <row r="127" spans="1:7" ht="36.75" customHeight="1">
      <c r="A127" s="52">
        <v>126</v>
      </c>
      <c r="B127" s="52" t="s">
        <v>500</v>
      </c>
      <c r="C127" s="53" t="s">
        <v>584</v>
      </c>
      <c r="D127" s="53" t="s">
        <v>585</v>
      </c>
      <c r="E127" s="53" t="s">
        <v>575</v>
      </c>
      <c r="F127" s="53" t="s">
        <v>586</v>
      </c>
      <c r="G127" s="53" t="s">
        <v>118</v>
      </c>
    </row>
    <row r="128" spans="1:7" ht="36.75" customHeight="1">
      <c r="A128" s="52">
        <v>127</v>
      </c>
      <c r="B128" s="52" t="s">
        <v>500</v>
      </c>
      <c r="C128" s="53" t="s">
        <v>587</v>
      </c>
      <c r="D128" s="53" t="s">
        <v>588</v>
      </c>
      <c r="E128" s="53" t="s">
        <v>451</v>
      </c>
      <c r="F128" s="53" t="s">
        <v>589</v>
      </c>
      <c r="G128" s="53" t="s">
        <v>118</v>
      </c>
    </row>
    <row r="129" spans="1:7" ht="36.75" customHeight="1">
      <c r="A129" s="52">
        <v>128</v>
      </c>
      <c r="B129" s="52" t="s">
        <v>500</v>
      </c>
      <c r="C129" s="53" t="s">
        <v>590</v>
      </c>
      <c r="D129" s="53" t="s">
        <v>591</v>
      </c>
      <c r="E129" s="53" t="s">
        <v>592</v>
      </c>
      <c r="F129" s="53" t="s">
        <v>593</v>
      </c>
      <c r="G129" s="53" t="s">
        <v>118</v>
      </c>
    </row>
    <row r="130" spans="1:7" ht="36.75" customHeight="1">
      <c r="A130" s="52">
        <v>129</v>
      </c>
      <c r="B130" s="52" t="s">
        <v>500</v>
      </c>
      <c r="C130" s="53" t="s">
        <v>594</v>
      </c>
      <c r="D130" s="53" t="s">
        <v>595</v>
      </c>
      <c r="E130" s="53" t="s">
        <v>596</v>
      </c>
      <c r="F130" s="53" t="s">
        <v>597</v>
      </c>
      <c r="G130" s="53" t="s">
        <v>118</v>
      </c>
    </row>
    <row r="131" spans="1:7" ht="36.75" customHeight="1">
      <c r="A131" s="52">
        <v>130</v>
      </c>
      <c r="B131" s="52" t="s">
        <v>500</v>
      </c>
      <c r="C131" s="53" t="s">
        <v>598</v>
      </c>
      <c r="D131" s="53" t="s">
        <v>599</v>
      </c>
      <c r="E131" s="53" t="s">
        <v>349</v>
      </c>
      <c r="F131" s="53" t="s">
        <v>600</v>
      </c>
      <c r="G131" s="53" t="s">
        <v>118</v>
      </c>
    </row>
    <row r="132" spans="1:7" ht="36.75" customHeight="1">
      <c r="A132" s="52">
        <v>131</v>
      </c>
      <c r="B132" s="52" t="s">
        <v>500</v>
      </c>
      <c r="C132" s="53" t="s">
        <v>601</v>
      </c>
      <c r="D132" s="53" t="s">
        <v>602</v>
      </c>
      <c r="E132" s="53" t="s">
        <v>603</v>
      </c>
      <c r="F132" s="53" t="s">
        <v>604</v>
      </c>
      <c r="G132" s="53" t="s">
        <v>118</v>
      </c>
    </row>
    <row r="133" spans="1:7" ht="36.75" customHeight="1">
      <c r="A133" s="52">
        <v>132</v>
      </c>
      <c r="B133" s="52" t="s">
        <v>500</v>
      </c>
      <c r="C133" s="53" t="s">
        <v>605</v>
      </c>
      <c r="D133" s="53" t="s">
        <v>606</v>
      </c>
      <c r="E133" s="53" t="s">
        <v>607</v>
      </c>
      <c r="F133" s="53" t="s">
        <v>608</v>
      </c>
      <c r="G133" s="53" t="s">
        <v>118</v>
      </c>
    </row>
    <row r="134" spans="1:7" ht="36.75" customHeight="1">
      <c r="A134" s="52">
        <v>133</v>
      </c>
      <c r="B134" s="52" t="s">
        <v>500</v>
      </c>
      <c r="C134" s="53" t="s">
        <v>609</v>
      </c>
      <c r="D134" s="53" t="s">
        <v>610</v>
      </c>
      <c r="E134" s="53" t="s">
        <v>607</v>
      </c>
      <c r="F134" s="53" t="s">
        <v>611</v>
      </c>
      <c r="G134" s="53" t="s">
        <v>118</v>
      </c>
    </row>
    <row r="135" spans="1:7" ht="36.75" customHeight="1">
      <c r="A135" s="52">
        <v>134</v>
      </c>
      <c r="B135" s="52" t="s">
        <v>500</v>
      </c>
      <c r="C135" s="53" t="s">
        <v>612</v>
      </c>
      <c r="D135" s="53" t="s">
        <v>613</v>
      </c>
      <c r="E135" s="53" t="s">
        <v>607</v>
      </c>
      <c r="F135" s="53" t="s">
        <v>614</v>
      </c>
      <c r="G135" s="53" t="s">
        <v>118</v>
      </c>
    </row>
    <row r="136" spans="1:7" ht="36.75" customHeight="1">
      <c r="A136" s="52">
        <v>135</v>
      </c>
      <c r="B136" s="52" t="s">
        <v>500</v>
      </c>
      <c r="C136" s="53" t="s">
        <v>615</v>
      </c>
      <c r="D136" s="53" t="s">
        <v>616</v>
      </c>
      <c r="E136" s="53" t="s">
        <v>607</v>
      </c>
      <c r="F136" s="53" t="s">
        <v>617</v>
      </c>
      <c r="G136" s="53" t="s">
        <v>118</v>
      </c>
    </row>
    <row r="137" spans="1:7" ht="36.75" customHeight="1">
      <c r="A137" s="52">
        <v>136</v>
      </c>
      <c r="B137" s="52" t="s">
        <v>500</v>
      </c>
      <c r="C137" s="53" t="s">
        <v>618</v>
      </c>
      <c r="D137" s="53" t="s">
        <v>619</v>
      </c>
      <c r="E137" s="53" t="s">
        <v>620</v>
      </c>
      <c r="F137" s="53" t="s">
        <v>621</v>
      </c>
      <c r="G137" s="53" t="s">
        <v>118</v>
      </c>
    </row>
    <row r="138" spans="1:7" ht="36.75" customHeight="1">
      <c r="A138" s="52">
        <v>137</v>
      </c>
      <c r="B138" s="52" t="s">
        <v>500</v>
      </c>
      <c r="C138" s="53" t="s">
        <v>622</v>
      </c>
      <c r="D138" s="53" t="s">
        <v>623</v>
      </c>
      <c r="E138" s="53" t="s">
        <v>624</v>
      </c>
      <c r="F138" s="53" t="s">
        <v>625</v>
      </c>
      <c r="G138" s="53" t="s">
        <v>118</v>
      </c>
    </row>
    <row r="139" spans="1:7" ht="36.75" customHeight="1">
      <c r="A139" s="52">
        <v>138</v>
      </c>
      <c r="B139" s="52" t="s">
        <v>500</v>
      </c>
      <c r="C139" s="53" t="s">
        <v>626</v>
      </c>
      <c r="D139" s="53" t="s">
        <v>627</v>
      </c>
      <c r="E139" s="53" t="s">
        <v>628</v>
      </c>
      <c r="F139" s="53" t="s">
        <v>629</v>
      </c>
      <c r="G139" s="53" t="s">
        <v>118</v>
      </c>
    </row>
    <row r="140" spans="1:7" ht="36.75" customHeight="1">
      <c r="A140" s="52">
        <v>139</v>
      </c>
      <c r="B140" s="52" t="s">
        <v>500</v>
      </c>
      <c r="C140" s="53" t="s">
        <v>630</v>
      </c>
      <c r="D140" s="53" t="s">
        <v>631</v>
      </c>
      <c r="E140" s="53" t="s">
        <v>628</v>
      </c>
      <c r="F140" s="53" t="s">
        <v>632</v>
      </c>
      <c r="G140" s="53" t="s">
        <v>118</v>
      </c>
    </row>
    <row r="141" spans="1:7" ht="36.75" customHeight="1">
      <c r="A141" s="52">
        <v>140</v>
      </c>
      <c r="B141" s="52" t="s">
        <v>500</v>
      </c>
      <c r="C141" s="53" t="s">
        <v>633</v>
      </c>
      <c r="D141" s="53" t="s">
        <v>634</v>
      </c>
      <c r="E141" s="53" t="s">
        <v>635</v>
      </c>
      <c r="F141" s="53" t="s">
        <v>636</v>
      </c>
      <c r="G141" s="53" t="s">
        <v>118</v>
      </c>
    </row>
    <row r="142" spans="1:7" ht="36.75" customHeight="1">
      <c r="A142" s="52">
        <v>141</v>
      </c>
      <c r="B142" s="52" t="s">
        <v>500</v>
      </c>
      <c r="C142" s="53" t="s">
        <v>637</v>
      </c>
      <c r="D142" s="53" t="s">
        <v>638</v>
      </c>
      <c r="E142" s="53" t="s">
        <v>639</v>
      </c>
      <c r="F142" s="53" t="s">
        <v>640</v>
      </c>
      <c r="G142" s="53" t="s">
        <v>118</v>
      </c>
    </row>
    <row r="143" spans="1:7" ht="36.75" customHeight="1">
      <c r="A143" s="52">
        <v>142</v>
      </c>
      <c r="B143" s="52" t="s">
        <v>500</v>
      </c>
      <c r="C143" s="53" t="s">
        <v>641</v>
      </c>
      <c r="D143" s="53" t="s">
        <v>642</v>
      </c>
      <c r="E143" s="53" t="s">
        <v>643</v>
      </c>
      <c r="F143" s="53" t="s">
        <v>644</v>
      </c>
      <c r="G143" s="53" t="s">
        <v>118</v>
      </c>
    </row>
    <row r="144" spans="1:7" ht="36.75" customHeight="1">
      <c r="A144" s="52">
        <v>143</v>
      </c>
      <c r="B144" s="52" t="s">
        <v>500</v>
      </c>
      <c r="C144" s="53" t="s">
        <v>645</v>
      </c>
      <c r="D144" s="53" t="s">
        <v>646</v>
      </c>
      <c r="E144" s="53" t="s">
        <v>480</v>
      </c>
      <c r="F144" s="53" t="s">
        <v>647</v>
      </c>
      <c r="G144" s="53" t="s">
        <v>118</v>
      </c>
    </row>
    <row r="145" spans="1:7" ht="36.75" customHeight="1">
      <c r="A145" s="52">
        <v>144</v>
      </c>
      <c r="B145" s="52" t="s">
        <v>500</v>
      </c>
      <c r="C145" s="53" t="s">
        <v>648</v>
      </c>
      <c r="D145" s="53" t="s">
        <v>649</v>
      </c>
      <c r="E145" s="53" t="s">
        <v>483</v>
      </c>
      <c r="F145" s="53" t="s">
        <v>647</v>
      </c>
      <c r="G145" s="53" t="s">
        <v>118</v>
      </c>
    </row>
    <row r="146" spans="1:7" ht="36.75" customHeight="1">
      <c r="A146" s="52">
        <v>145</v>
      </c>
      <c r="B146" s="52" t="s">
        <v>500</v>
      </c>
      <c r="C146" s="53" t="s">
        <v>650</v>
      </c>
      <c r="D146" s="53" t="s">
        <v>651</v>
      </c>
      <c r="E146" s="53" t="s">
        <v>483</v>
      </c>
      <c r="F146" s="53" t="s">
        <v>652</v>
      </c>
      <c r="G146" s="53" t="s">
        <v>118</v>
      </c>
    </row>
    <row r="147" spans="1:7" ht="36.75" customHeight="1">
      <c r="A147" s="52">
        <v>146</v>
      </c>
      <c r="B147" s="52" t="s">
        <v>500</v>
      </c>
      <c r="C147" s="53" t="s">
        <v>653</v>
      </c>
      <c r="D147" s="53" t="s">
        <v>654</v>
      </c>
      <c r="E147" s="53" t="s">
        <v>486</v>
      </c>
      <c r="F147" s="53" t="s">
        <v>655</v>
      </c>
      <c r="G147" s="53" t="s">
        <v>118</v>
      </c>
    </row>
    <row r="148" spans="1:7" ht="36.75" customHeight="1">
      <c r="A148" s="52">
        <v>147</v>
      </c>
      <c r="B148" s="52" t="s">
        <v>500</v>
      </c>
      <c r="C148" s="53" t="s">
        <v>656</v>
      </c>
      <c r="D148" s="53" t="s">
        <v>657</v>
      </c>
      <c r="E148" s="53" t="s">
        <v>490</v>
      </c>
      <c r="F148" s="53" t="s">
        <v>658</v>
      </c>
      <c r="G148" s="53" t="s">
        <v>118</v>
      </c>
    </row>
    <row r="149" spans="1:7" ht="36.75" customHeight="1">
      <c r="A149" s="52">
        <v>148</v>
      </c>
      <c r="B149" s="52" t="s">
        <v>500</v>
      </c>
      <c r="C149" s="53" t="s">
        <v>659</v>
      </c>
      <c r="D149" s="53" t="s">
        <v>660</v>
      </c>
      <c r="E149" s="53" t="s">
        <v>493</v>
      </c>
      <c r="F149" s="53" t="s">
        <v>661</v>
      </c>
      <c r="G149" s="53" t="s">
        <v>118</v>
      </c>
    </row>
    <row r="150" spans="1:7" ht="36.75" customHeight="1">
      <c r="A150" s="52">
        <v>149</v>
      </c>
      <c r="B150" s="52" t="s">
        <v>500</v>
      </c>
      <c r="C150" s="53" t="s">
        <v>662</v>
      </c>
      <c r="D150" s="53" t="s">
        <v>663</v>
      </c>
      <c r="E150" s="53" t="s">
        <v>493</v>
      </c>
      <c r="F150" s="53" t="s">
        <v>664</v>
      </c>
      <c r="G150" s="53" t="s">
        <v>118</v>
      </c>
    </row>
    <row r="151" spans="1:7" ht="36.75" customHeight="1">
      <c r="A151" s="52">
        <v>150</v>
      </c>
      <c r="B151" s="52" t="s">
        <v>500</v>
      </c>
      <c r="C151" s="53" t="s">
        <v>665</v>
      </c>
      <c r="D151" s="53" t="s">
        <v>666</v>
      </c>
      <c r="E151" s="53" t="s">
        <v>312</v>
      </c>
      <c r="F151" s="53" t="s">
        <v>667</v>
      </c>
      <c r="G151" s="53" t="s">
        <v>118</v>
      </c>
    </row>
    <row r="152" spans="1:7" ht="36.75" customHeight="1">
      <c r="A152" s="52">
        <v>151</v>
      </c>
      <c r="B152" s="52" t="s">
        <v>500</v>
      </c>
      <c r="C152" s="53" t="s">
        <v>668</v>
      </c>
      <c r="D152" s="53" t="s">
        <v>669</v>
      </c>
      <c r="E152" s="53" t="s">
        <v>670</v>
      </c>
      <c r="F152" s="53" t="s">
        <v>671</v>
      </c>
      <c r="G152" s="53" t="s">
        <v>118</v>
      </c>
    </row>
    <row r="153" spans="1:7" ht="36.75" customHeight="1">
      <c r="A153" s="52">
        <v>152</v>
      </c>
      <c r="B153" s="52" t="s">
        <v>500</v>
      </c>
      <c r="C153" s="53" t="s">
        <v>672</v>
      </c>
      <c r="D153" s="53" t="s">
        <v>673</v>
      </c>
      <c r="E153" s="53" t="s">
        <v>496</v>
      </c>
      <c r="F153" s="53" t="s">
        <v>674</v>
      </c>
      <c r="G153" s="53" t="s">
        <v>118</v>
      </c>
    </row>
    <row r="154" spans="1:7" ht="36.75" customHeight="1">
      <c r="A154" s="52">
        <v>153</v>
      </c>
      <c r="B154" s="52" t="s">
        <v>500</v>
      </c>
      <c r="C154" s="53" t="s">
        <v>675</v>
      </c>
      <c r="D154" s="53" t="s">
        <v>676</v>
      </c>
      <c r="E154" s="53" t="s">
        <v>345</v>
      </c>
      <c r="F154" s="53" t="s">
        <v>677</v>
      </c>
      <c r="G154" s="53" t="s">
        <v>118</v>
      </c>
    </row>
    <row r="155" spans="1:7" ht="36.75" customHeight="1">
      <c r="A155" s="52">
        <v>154</v>
      </c>
      <c r="B155" s="52" t="s">
        <v>500</v>
      </c>
      <c r="C155" s="53" t="s">
        <v>678</v>
      </c>
      <c r="D155" s="53" t="s">
        <v>679</v>
      </c>
      <c r="E155" s="53" t="s">
        <v>345</v>
      </c>
      <c r="F155" s="53" t="s">
        <v>680</v>
      </c>
      <c r="G155" s="53" t="s">
        <v>118</v>
      </c>
    </row>
    <row r="156" spans="1:7" ht="36.75" customHeight="1">
      <c r="A156" s="52">
        <v>155</v>
      </c>
      <c r="B156" s="52" t="s">
        <v>500</v>
      </c>
      <c r="C156" s="53" t="s">
        <v>681</v>
      </c>
      <c r="D156" s="53" t="s">
        <v>682</v>
      </c>
      <c r="E156" s="53" t="s">
        <v>335</v>
      </c>
      <c r="F156" s="53" t="s">
        <v>683</v>
      </c>
      <c r="G156" s="53" t="s">
        <v>118</v>
      </c>
    </row>
    <row r="157" spans="1:7" ht="36.75" customHeight="1">
      <c r="A157" s="52">
        <v>156</v>
      </c>
      <c r="B157" s="52" t="s">
        <v>500</v>
      </c>
      <c r="C157" s="53" t="s">
        <v>684</v>
      </c>
      <c r="D157" s="53" t="s">
        <v>685</v>
      </c>
      <c r="E157" s="53" t="s">
        <v>541</v>
      </c>
      <c r="F157" s="53" t="s">
        <v>686</v>
      </c>
      <c r="G157" s="53" t="s">
        <v>118</v>
      </c>
    </row>
    <row r="158" spans="1:7" ht="36.75" customHeight="1">
      <c r="A158" s="55">
        <v>157</v>
      </c>
      <c r="B158" s="55" t="s">
        <v>687</v>
      </c>
      <c r="C158" s="56" t="s">
        <v>688</v>
      </c>
      <c r="D158" s="56" t="s">
        <v>689</v>
      </c>
      <c r="E158" s="56" t="s">
        <v>504</v>
      </c>
      <c r="F158" s="56" t="s">
        <v>690</v>
      </c>
      <c r="G158" s="56" t="s">
        <v>118</v>
      </c>
    </row>
    <row r="159" spans="1:7" ht="36.75" customHeight="1">
      <c r="A159" s="55">
        <v>158</v>
      </c>
      <c r="B159" s="55" t="s">
        <v>687</v>
      </c>
      <c r="C159" s="56" t="s">
        <v>691</v>
      </c>
      <c r="D159" s="56" t="s">
        <v>692</v>
      </c>
      <c r="E159" s="56" t="s">
        <v>504</v>
      </c>
      <c r="F159" s="56" t="s">
        <v>690</v>
      </c>
      <c r="G159" s="56" t="s">
        <v>118</v>
      </c>
    </row>
    <row r="160" spans="1:7" ht="36.75" customHeight="1">
      <c r="A160" s="55">
        <v>159</v>
      </c>
      <c r="B160" s="55" t="s">
        <v>687</v>
      </c>
      <c r="C160" s="56" t="s">
        <v>693</v>
      </c>
      <c r="D160" s="56" t="s">
        <v>694</v>
      </c>
      <c r="E160" s="56" t="s">
        <v>507</v>
      </c>
      <c r="F160" s="56" t="s">
        <v>690</v>
      </c>
      <c r="G160" s="56" t="s">
        <v>118</v>
      </c>
    </row>
    <row r="161" spans="1:7" ht="36.75" customHeight="1">
      <c r="A161" s="55">
        <v>160</v>
      </c>
      <c r="B161" s="55" t="s">
        <v>687</v>
      </c>
      <c r="C161" s="56" t="s">
        <v>695</v>
      </c>
      <c r="D161" s="56" t="s">
        <v>696</v>
      </c>
      <c r="E161" s="56" t="s">
        <v>507</v>
      </c>
      <c r="F161" s="56" t="s">
        <v>690</v>
      </c>
      <c r="G161" s="56" t="s">
        <v>118</v>
      </c>
    </row>
    <row r="162" spans="1:7" ht="36.75" customHeight="1">
      <c r="A162" s="55">
        <v>161</v>
      </c>
      <c r="B162" s="55" t="s">
        <v>687</v>
      </c>
      <c r="C162" s="56" t="s">
        <v>697</v>
      </c>
      <c r="D162" s="56" t="s">
        <v>698</v>
      </c>
      <c r="E162" s="56" t="s">
        <v>511</v>
      </c>
      <c r="F162" s="56" t="s">
        <v>690</v>
      </c>
      <c r="G162" s="56" t="s">
        <v>118</v>
      </c>
    </row>
    <row r="163" spans="1:7" ht="36.75" customHeight="1">
      <c r="A163" s="55">
        <v>162</v>
      </c>
      <c r="B163" s="55" t="s">
        <v>687</v>
      </c>
      <c r="C163" s="56" t="s">
        <v>699</v>
      </c>
      <c r="D163" s="56" t="s">
        <v>700</v>
      </c>
      <c r="E163" s="56" t="s">
        <v>516</v>
      </c>
      <c r="F163" s="56" t="s">
        <v>690</v>
      </c>
      <c r="G163" s="56" t="s">
        <v>118</v>
      </c>
    </row>
    <row r="164" spans="1:7" ht="36.75" customHeight="1">
      <c r="A164" s="55">
        <v>163</v>
      </c>
      <c r="B164" s="55" t="s">
        <v>687</v>
      </c>
      <c r="C164" s="56" t="s">
        <v>701</v>
      </c>
      <c r="D164" s="56" t="s">
        <v>702</v>
      </c>
      <c r="E164" s="56" t="s">
        <v>520</v>
      </c>
      <c r="F164" s="56" t="s">
        <v>690</v>
      </c>
      <c r="G164" s="56" t="s">
        <v>118</v>
      </c>
    </row>
    <row r="165" spans="1:7" ht="36.75" customHeight="1">
      <c r="A165" s="55">
        <v>164</v>
      </c>
      <c r="B165" s="55" t="s">
        <v>687</v>
      </c>
      <c r="C165" s="56" t="s">
        <v>703</v>
      </c>
      <c r="D165" s="56" t="s">
        <v>704</v>
      </c>
      <c r="E165" s="56" t="s">
        <v>524</v>
      </c>
      <c r="F165" s="56" t="s">
        <v>690</v>
      </c>
      <c r="G165" s="56" t="s">
        <v>118</v>
      </c>
    </row>
    <row r="166" spans="1:7" ht="36.75" customHeight="1">
      <c r="A166" s="55">
        <v>165</v>
      </c>
      <c r="B166" s="55" t="s">
        <v>687</v>
      </c>
      <c r="C166" s="56" t="s">
        <v>705</v>
      </c>
      <c r="D166" s="56" t="s">
        <v>706</v>
      </c>
      <c r="E166" s="56" t="s">
        <v>524</v>
      </c>
      <c r="F166" s="56" t="s">
        <v>690</v>
      </c>
      <c r="G166" s="56" t="s">
        <v>118</v>
      </c>
    </row>
    <row r="167" spans="1:7" ht="36.75" customHeight="1">
      <c r="A167" s="55">
        <v>166</v>
      </c>
      <c r="B167" s="55" t="s">
        <v>687</v>
      </c>
      <c r="C167" s="56" t="s">
        <v>707</v>
      </c>
      <c r="D167" s="56" t="s">
        <v>708</v>
      </c>
      <c r="E167" s="56" t="s">
        <v>527</v>
      </c>
      <c r="F167" s="56" t="s">
        <v>690</v>
      </c>
      <c r="G167" s="56" t="s">
        <v>118</v>
      </c>
    </row>
    <row r="168" spans="1:7" ht="36.75" customHeight="1">
      <c r="A168" s="55">
        <v>167</v>
      </c>
      <c r="B168" s="55" t="s">
        <v>687</v>
      </c>
      <c r="C168" s="56" t="s">
        <v>709</v>
      </c>
      <c r="D168" s="56" t="s">
        <v>710</v>
      </c>
      <c r="E168" s="56" t="s">
        <v>531</v>
      </c>
      <c r="F168" s="56" t="s">
        <v>690</v>
      </c>
      <c r="G168" s="56" t="s">
        <v>118</v>
      </c>
    </row>
    <row r="169" spans="1:7" ht="36.75" customHeight="1">
      <c r="A169" s="55">
        <v>168</v>
      </c>
      <c r="B169" s="55" t="s">
        <v>687</v>
      </c>
      <c r="C169" s="56" t="s">
        <v>711</v>
      </c>
      <c r="D169" s="56" t="s">
        <v>712</v>
      </c>
      <c r="E169" s="56" t="s">
        <v>531</v>
      </c>
      <c r="F169" s="56" t="s">
        <v>690</v>
      </c>
      <c r="G169" s="56" t="s">
        <v>118</v>
      </c>
    </row>
    <row r="170" spans="1:7" ht="36.75" customHeight="1">
      <c r="A170" s="55">
        <v>169</v>
      </c>
      <c r="B170" s="55" t="s">
        <v>687</v>
      </c>
      <c r="C170" s="56" t="s">
        <v>713</v>
      </c>
      <c r="D170" s="56" t="s">
        <v>714</v>
      </c>
      <c r="E170" s="56" t="s">
        <v>535</v>
      </c>
      <c r="F170" s="56" t="s">
        <v>690</v>
      </c>
      <c r="G170" s="56" t="s">
        <v>118</v>
      </c>
    </row>
    <row r="171" spans="1:7" ht="36.75" customHeight="1">
      <c r="A171" s="55">
        <v>170</v>
      </c>
      <c r="B171" s="55" t="s">
        <v>687</v>
      </c>
      <c r="C171" s="56" t="s">
        <v>715</v>
      </c>
      <c r="D171" s="56" t="s">
        <v>716</v>
      </c>
      <c r="E171" s="56" t="s">
        <v>538</v>
      </c>
      <c r="F171" s="56" t="s">
        <v>690</v>
      </c>
      <c r="G171" s="56" t="s">
        <v>118</v>
      </c>
    </row>
    <row r="172" spans="1:7" ht="36.75" customHeight="1">
      <c r="A172" s="55">
        <v>171</v>
      </c>
      <c r="B172" s="55" t="s">
        <v>687</v>
      </c>
      <c r="C172" s="56" t="s">
        <v>717</v>
      </c>
      <c r="D172" s="56" t="s">
        <v>718</v>
      </c>
      <c r="E172" s="56" t="s">
        <v>538</v>
      </c>
      <c r="F172" s="56" t="s">
        <v>690</v>
      </c>
      <c r="G172" s="56" t="s">
        <v>118</v>
      </c>
    </row>
    <row r="173" spans="1:7" ht="36.75" customHeight="1">
      <c r="A173" s="55">
        <v>172</v>
      </c>
      <c r="B173" s="55" t="s">
        <v>687</v>
      </c>
      <c r="C173" s="56" t="s">
        <v>719</v>
      </c>
      <c r="D173" s="56" t="s">
        <v>720</v>
      </c>
      <c r="E173" s="56" t="s">
        <v>542</v>
      </c>
      <c r="F173" s="56" t="s">
        <v>690</v>
      </c>
      <c r="G173" s="56" t="s">
        <v>118</v>
      </c>
    </row>
    <row r="174" spans="1:7" ht="36.75" customHeight="1">
      <c r="A174" s="55">
        <v>173</v>
      </c>
      <c r="B174" s="55" t="s">
        <v>687</v>
      </c>
      <c r="C174" s="56" t="s">
        <v>721</v>
      </c>
      <c r="D174" s="56" t="s">
        <v>722</v>
      </c>
      <c r="E174" s="56" t="s">
        <v>546</v>
      </c>
      <c r="F174" s="56" t="s">
        <v>690</v>
      </c>
      <c r="G174" s="56" t="s">
        <v>118</v>
      </c>
    </row>
    <row r="175" spans="1:7" ht="36.75" customHeight="1">
      <c r="A175" s="55">
        <v>174</v>
      </c>
      <c r="B175" s="55" t="s">
        <v>687</v>
      </c>
      <c r="C175" s="56" t="s">
        <v>723</v>
      </c>
      <c r="D175" s="56" t="s">
        <v>724</v>
      </c>
      <c r="E175" s="56" t="s">
        <v>546</v>
      </c>
      <c r="F175" s="56" t="s">
        <v>690</v>
      </c>
      <c r="G175" s="56" t="s">
        <v>118</v>
      </c>
    </row>
    <row r="176" spans="1:7" ht="36.75" customHeight="1">
      <c r="A176" s="55">
        <v>175</v>
      </c>
      <c r="B176" s="55" t="s">
        <v>687</v>
      </c>
      <c r="C176" s="56" t="s">
        <v>725</v>
      </c>
      <c r="D176" s="56" t="s">
        <v>726</v>
      </c>
      <c r="E176" s="56" t="s">
        <v>549</v>
      </c>
      <c r="F176" s="56" t="s">
        <v>690</v>
      </c>
      <c r="G176" s="56" t="s">
        <v>118</v>
      </c>
    </row>
    <row r="177" spans="1:7" ht="36.75" customHeight="1">
      <c r="A177" s="55">
        <v>176</v>
      </c>
      <c r="B177" s="55" t="s">
        <v>687</v>
      </c>
      <c r="C177" s="56" t="s">
        <v>727</v>
      </c>
      <c r="D177" s="56" t="s">
        <v>728</v>
      </c>
      <c r="E177" s="56" t="s">
        <v>549</v>
      </c>
      <c r="F177" s="56" t="s">
        <v>690</v>
      </c>
      <c r="G177" s="56" t="s">
        <v>118</v>
      </c>
    </row>
    <row r="178" spans="1:7" ht="36.75" customHeight="1">
      <c r="A178" s="55">
        <v>177</v>
      </c>
      <c r="B178" s="55" t="s">
        <v>687</v>
      </c>
      <c r="C178" s="56" t="s">
        <v>729</v>
      </c>
      <c r="D178" s="56" t="s">
        <v>730</v>
      </c>
      <c r="E178" s="56" t="s">
        <v>553</v>
      </c>
      <c r="F178" s="56" t="s">
        <v>690</v>
      </c>
      <c r="G178" s="56" t="s">
        <v>118</v>
      </c>
    </row>
    <row r="179" spans="1:7" ht="36.75" customHeight="1">
      <c r="A179" s="55">
        <v>178</v>
      </c>
      <c r="B179" s="55" t="s">
        <v>687</v>
      </c>
      <c r="C179" s="56" t="s">
        <v>731</v>
      </c>
      <c r="D179" s="56" t="s">
        <v>732</v>
      </c>
      <c r="E179" s="56" t="s">
        <v>553</v>
      </c>
      <c r="F179" s="56" t="s">
        <v>690</v>
      </c>
      <c r="G179" s="56" t="s">
        <v>118</v>
      </c>
    </row>
    <row r="180" spans="1:7" ht="36.75" customHeight="1">
      <c r="A180" s="55">
        <v>179</v>
      </c>
      <c r="B180" s="55" t="s">
        <v>687</v>
      </c>
      <c r="C180" s="56" t="s">
        <v>733</v>
      </c>
      <c r="D180" s="56" t="s">
        <v>734</v>
      </c>
      <c r="E180" s="56" t="s">
        <v>557</v>
      </c>
      <c r="F180" s="56" t="s">
        <v>690</v>
      </c>
      <c r="G180" s="56" t="s">
        <v>118</v>
      </c>
    </row>
    <row r="181" spans="1:7" ht="36.75" customHeight="1">
      <c r="A181" s="55">
        <v>180</v>
      </c>
      <c r="B181" s="55" t="s">
        <v>687</v>
      </c>
      <c r="C181" s="56" t="s">
        <v>735</v>
      </c>
      <c r="D181" s="56" t="s">
        <v>736</v>
      </c>
      <c r="E181" s="56" t="s">
        <v>560</v>
      </c>
      <c r="F181" s="56" t="s">
        <v>690</v>
      </c>
      <c r="G181" s="56" t="s">
        <v>118</v>
      </c>
    </row>
    <row r="182" spans="1:7" ht="36.75" customHeight="1">
      <c r="A182" s="55">
        <v>181</v>
      </c>
      <c r="B182" s="55" t="s">
        <v>687</v>
      </c>
      <c r="C182" s="56" t="s">
        <v>737</v>
      </c>
      <c r="D182" s="56" t="s">
        <v>738</v>
      </c>
      <c r="E182" s="56" t="s">
        <v>560</v>
      </c>
      <c r="F182" s="56" t="s">
        <v>690</v>
      </c>
      <c r="G182" s="56" t="s">
        <v>118</v>
      </c>
    </row>
    <row r="183" spans="1:7" ht="36.75" customHeight="1">
      <c r="A183" s="55">
        <v>182</v>
      </c>
      <c r="B183" s="55" t="s">
        <v>687</v>
      </c>
      <c r="C183" s="56" t="s">
        <v>739</v>
      </c>
      <c r="D183" s="56" t="s">
        <v>740</v>
      </c>
      <c r="E183" s="56" t="s">
        <v>564</v>
      </c>
      <c r="F183" s="56" t="s">
        <v>690</v>
      </c>
      <c r="G183" s="56" t="s">
        <v>118</v>
      </c>
    </row>
    <row r="184" spans="1:7" ht="36.75" customHeight="1">
      <c r="A184" s="55">
        <v>183</v>
      </c>
      <c r="B184" s="55" t="s">
        <v>687</v>
      </c>
      <c r="C184" s="56" t="s">
        <v>741</v>
      </c>
      <c r="D184" s="56" t="s">
        <v>742</v>
      </c>
      <c r="E184" s="56" t="s">
        <v>568</v>
      </c>
      <c r="F184" s="56" t="s">
        <v>690</v>
      </c>
      <c r="G184" s="56" t="s">
        <v>118</v>
      </c>
    </row>
    <row r="185" spans="1:7" ht="36.75" customHeight="1">
      <c r="A185" s="55">
        <v>184</v>
      </c>
      <c r="B185" s="55" t="s">
        <v>687</v>
      </c>
      <c r="C185" s="56" t="s">
        <v>743</v>
      </c>
      <c r="D185" s="56" t="s">
        <v>744</v>
      </c>
      <c r="E185" s="56" t="s">
        <v>572</v>
      </c>
      <c r="F185" s="56" t="s">
        <v>690</v>
      </c>
      <c r="G185" s="56" t="s">
        <v>118</v>
      </c>
    </row>
    <row r="186" spans="1:7" ht="36.75" customHeight="1">
      <c r="A186" s="55">
        <v>185</v>
      </c>
      <c r="B186" s="55" t="s">
        <v>687</v>
      </c>
      <c r="C186" s="56" t="s">
        <v>745</v>
      </c>
      <c r="D186" s="56" t="s">
        <v>746</v>
      </c>
      <c r="E186" s="56" t="s">
        <v>576</v>
      </c>
      <c r="F186" s="56" t="s">
        <v>690</v>
      </c>
      <c r="G186" s="56" t="s">
        <v>118</v>
      </c>
    </row>
    <row r="187" spans="1:7" ht="36.75" customHeight="1">
      <c r="A187" s="55">
        <v>186</v>
      </c>
      <c r="B187" s="55" t="s">
        <v>687</v>
      </c>
      <c r="C187" s="56" t="s">
        <v>747</v>
      </c>
      <c r="D187" s="56" t="s">
        <v>748</v>
      </c>
      <c r="E187" s="56" t="s">
        <v>576</v>
      </c>
      <c r="F187" s="56" t="s">
        <v>690</v>
      </c>
      <c r="G187" s="56" t="s">
        <v>118</v>
      </c>
    </row>
    <row r="188" spans="1:7" ht="36.75" customHeight="1">
      <c r="A188" s="55">
        <v>187</v>
      </c>
      <c r="B188" s="55" t="s">
        <v>687</v>
      </c>
      <c r="C188" s="56" t="s">
        <v>749</v>
      </c>
      <c r="D188" s="56" t="s">
        <v>750</v>
      </c>
      <c r="E188" s="56" t="s">
        <v>580</v>
      </c>
      <c r="F188" s="56" t="s">
        <v>690</v>
      </c>
      <c r="G188" s="56" t="s">
        <v>118</v>
      </c>
    </row>
    <row r="189" spans="1:7" ht="36.75" customHeight="1">
      <c r="A189" s="55">
        <v>188</v>
      </c>
      <c r="B189" s="55" t="s">
        <v>687</v>
      </c>
      <c r="C189" s="56" t="s">
        <v>751</v>
      </c>
      <c r="D189" s="56" t="s">
        <v>752</v>
      </c>
      <c r="E189" s="56" t="s">
        <v>580</v>
      </c>
      <c r="F189" s="56" t="s">
        <v>690</v>
      </c>
      <c r="G189" s="56" t="s">
        <v>118</v>
      </c>
    </row>
    <row r="190" spans="1:7" ht="36.75" customHeight="1">
      <c r="A190" s="55">
        <v>189</v>
      </c>
      <c r="B190" s="55" t="s">
        <v>687</v>
      </c>
      <c r="C190" s="56" t="s">
        <v>753</v>
      </c>
      <c r="D190" s="56" t="s">
        <v>754</v>
      </c>
      <c r="E190" s="56" t="s">
        <v>583</v>
      </c>
      <c r="F190" s="56" t="s">
        <v>690</v>
      </c>
      <c r="G190" s="56" t="s">
        <v>118</v>
      </c>
    </row>
    <row r="191" spans="1:7" ht="36.75" customHeight="1">
      <c r="A191" s="55">
        <v>190</v>
      </c>
      <c r="B191" s="55" t="s">
        <v>687</v>
      </c>
      <c r="C191" s="56" t="s">
        <v>755</v>
      </c>
      <c r="D191" s="56" t="s">
        <v>756</v>
      </c>
      <c r="E191" s="56" t="s">
        <v>583</v>
      </c>
      <c r="F191" s="56" t="s">
        <v>690</v>
      </c>
      <c r="G191" s="56" t="s">
        <v>118</v>
      </c>
    </row>
    <row r="192" spans="1:7" ht="36.75" customHeight="1">
      <c r="A192" s="55">
        <v>191</v>
      </c>
      <c r="B192" s="55" t="s">
        <v>687</v>
      </c>
      <c r="C192" s="56" t="s">
        <v>757</v>
      </c>
      <c r="D192" s="56" t="s">
        <v>758</v>
      </c>
      <c r="E192" s="56" t="s">
        <v>586</v>
      </c>
      <c r="F192" s="56" t="s">
        <v>690</v>
      </c>
      <c r="G192" s="56" t="s">
        <v>118</v>
      </c>
    </row>
    <row r="193" spans="1:7" ht="36.75" customHeight="1">
      <c r="A193" s="55">
        <v>192</v>
      </c>
      <c r="B193" s="55" t="s">
        <v>687</v>
      </c>
      <c r="C193" s="56" t="s">
        <v>759</v>
      </c>
      <c r="D193" s="56" t="s">
        <v>760</v>
      </c>
      <c r="E193" s="56" t="s">
        <v>589</v>
      </c>
      <c r="F193" s="56" t="s">
        <v>690</v>
      </c>
      <c r="G193" s="56" t="s">
        <v>118</v>
      </c>
    </row>
    <row r="194" spans="1:7" ht="36.75" customHeight="1">
      <c r="A194" s="55">
        <v>193</v>
      </c>
      <c r="B194" s="55" t="s">
        <v>687</v>
      </c>
      <c r="C194" s="56" t="s">
        <v>761</v>
      </c>
      <c r="D194" s="56" t="s">
        <v>762</v>
      </c>
      <c r="E194" s="56" t="s">
        <v>589</v>
      </c>
      <c r="F194" s="56" t="s">
        <v>690</v>
      </c>
      <c r="G194" s="56" t="s">
        <v>118</v>
      </c>
    </row>
    <row r="195" spans="1:7" ht="36.75" customHeight="1">
      <c r="A195" s="55">
        <v>194</v>
      </c>
      <c r="B195" s="55" t="s">
        <v>687</v>
      </c>
      <c r="C195" s="56" t="s">
        <v>763</v>
      </c>
      <c r="D195" s="56" t="s">
        <v>764</v>
      </c>
      <c r="E195" s="56" t="s">
        <v>593</v>
      </c>
      <c r="F195" s="56" t="s">
        <v>690</v>
      </c>
      <c r="G195" s="56" t="s">
        <v>118</v>
      </c>
    </row>
    <row r="196" spans="1:7" ht="36.75" customHeight="1">
      <c r="A196" s="55">
        <v>195</v>
      </c>
      <c r="B196" s="55" t="s">
        <v>687</v>
      </c>
      <c r="C196" s="56" t="s">
        <v>765</v>
      </c>
      <c r="D196" s="56" t="s">
        <v>766</v>
      </c>
      <c r="E196" s="56" t="s">
        <v>597</v>
      </c>
      <c r="F196" s="56" t="s">
        <v>690</v>
      </c>
      <c r="G196" s="56" t="s">
        <v>118</v>
      </c>
    </row>
    <row r="197" spans="1:7" ht="36.75" customHeight="1">
      <c r="A197" s="55">
        <v>196</v>
      </c>
      <c r="B197" s="55" t="s">
        <v>687</v>
      </c>
      <c r="C197" s="56" t="s">
        <v>767</v>
      </c>
      <c r="D197" s="56" t="s">
        <v>768</v>
      </c>
      <c r="E197" s="56" t="s">
        <v>600</v>
      </c>
      <c r="F197" s="56" t="s">
        <v>690</v>
      </c>
      <c r="G197" s="56" t="s">
        <v>118</v>
      </c>
    </row>
    <row r="198" spans="1:7" ht="36.75" customHeight="1">
      <c r="A198" s="55">
        <v>197</v>
      </c>
      <c r="B198" s="55" t="s">
        <v>687</v>
      </c>
      <c r="C198" s="56" t="s">
        <v>769</v>
      </c>
      <c r="D198" s="56" t="s">
        <v>770</v>
      </c>
      <c r="E198" s="56" t="s">
        <v>600</v>
      </c>
      <c r="F198" s="56" t="s">
        <v>690</v>
      </c>
      <c r="G198" s="56" t="s">
        <v>118</v>
      </c>
    </row>
    <row r="199" spans="1:7" ht="36.75" customHeight="1">
      <c r="A199" s="55">
        <v>198</v>
      </c>
      <c r="B199" s="55" t="s">
        <v>687</v>
      </c>
      <c r="C199" s="56" t="s">
        <v>771</v>
      </c>
      <c r="D199" s="56" t="s">
        <v>772</v>
      </c>
      <c r="E199" s="56" t="s">
        <v>604</v>
      </c>
      <c r="F199" s="56" t="s">
        <v>690</v>
      </c>
      <c r="G199" s="56" t="s">
        <v>118</v>
      </c>
    </row>
    <row r="200" spans="1:7" ht="36.75" customHeight="1">
      <c r="A200" s="55">
        <v>199</v>
      </c>
      <c r="B200" s="55" t="s">
        <v>687</v>
      </c>
      <c r="C200" s="56" t="s">
        <v>773</v>
      </c>
      <c r="D200" s="56" t="s">
        <v>774</v>
      </c>
      <c r="E200" s="56" t="s">
        <v>608</v>
      </c>
      <c r="F200" s="56" t="s">
        <v>690</v>
      </c>
      <c r="G200" s="56" t="s">
        <v>118</v>
      </c>
    </row>
    <row r="201" spans="1:7" ht="36.75" customHeight="1">
      <c r="A201" s="55">
        <v>200</v>
      </c>
      <c r="B201" s="55" t="s">
        <v>687</v>
      </c>
      <c r="C201" s="56" t="s">
        <v>775</v>
      </c>
      <c r="D201" s="56" t="s">
        <v>776</v>
      </c>
      <c r="E201" s="56" t="s">
        <v>777</v>
      </c>
      <c r="F201" s="56" t="s">
        <v>690</v>
      </c>
      <c r="G201" s="56" t="s">
        <v>118</v>
      </c>
    </row>
    <row r="202" spans="1:7" ht="36.75" customHeight="1">
      <c r="A202" s="55">
        <v>201</v>
      </c>
      <c r="B202" s="55" t="s">
        <v>687</v>
      </c>
      <c r="C202" s="56" t="s">
        <v>778</v>
      </c>
      <c r="D202" s="56" t="s">
        <v>779</v>
      </c>
      <c r="E202" s="56" t="s">
        <v>611</v>
      </c>
      <c r="F202" s="56" t="s">
        <v>690</v>
      </c>
      <c r="G202" s="56" t="s">
        <v>118</v>
      </c>
    </row>
    <row r="203" spans="1:7" ht="36.75" customHeight="1">
      <c r="A203" s="55">
        <v>202</v>
      </c>
      <c r="B203" s="55" t="s">
        <v>687</v>
      </c>
      <c r="C203" s="56" t="s">
        <v>780</v>
      </c>
      <c r="D203" s="56" t="s">
        <v>781</v>
      </c>
      <c r="E203" s="56" t="s">
        <v>614</v>
      </c>
      <c r="F203" s="56" t="s">
        <v>690</v>
      </c>
      <c r="G203" s="56" t="s">
        <v>118</v>
      </c>
    </row>
    <row r="204" spans="1:7" ht="36.75" customHeight="1">
      <c r="A204" s="55">
        <v>203</v>
      </c>
      <c r="B204" s="55" t="s">
        <v>687</v>
      </c>
      <c r="C204" s="56" t="s">
        <v>782</v>
      </c>
      <c r="D204" s="56" t="s">
        <v>783</v>
      </c>
      <c r="E204" s="56" t="s">
        <v>617</v>
      </c>
      <c r="F204" s="56" t="s">
        <v>690</v>
      </c>
      <c r="G204" s="56" t="s">
        <v>118</v>
      </c>
    </row>
    <row r="205" spans="1:7" ht="36.75" customHeight="1">
      <c r="A205" s="55">
        <v>204</v>
      </c>
      <c r="B205" s="55" t="s">
        <v>687</v>
      </c>
      <c r="C205" s="56" t="s">
        <v>784</v>
      </c>
      <c r="D205" s="56" t="s">
        <v>785</v>
      </c>
      <c r="E205" s="56" t="s">
        <v>621</v>
      </c>
      <c r="F205" s="56" t="s">
        <v>690</v>
      </c>
      <c r="G205" s="56" t="s">
        <v>118</v>
      </c>
    </row>
    <row r="206" spans="1:7" ht="36.75" customHeight="1">
      <c r="A206" s="55">
        <v>205</v>
      </c>
      <c r="B206" s="55" t="s">
        <v>687</v>
      </c>
      <c r="C206" s="56" t="s">
        <v>786</v>
      </c>
      <c r="D206" s="56" t="s">
        <v>787</v>
      </c>
      <c r="E206" s="56" t="s">
        <v>625</v>
      </c>
      <c r="F206" s="56" t="s">
        <v>690</v>
      </c>
      <c r="G206" s="56" t="s">
        <v>118</v>
      </c>
    </row>
    <row r="207" spans="1:7" ht="36.75" customHeight="1">
      <c r="A207" s="55">
        <v>206</v>
      </c>
      <c r="B207" s="55" t="s">
        <v>687</v>
      </c>
      <c r="C207" s="56" t="s">
        <v>788</v>
      </c>
      <c r="D207" s="56" t="s">
        <v>789</v>
      </c>
      <c r="E207" s="56" t="s">
        <v>625</v>
      </c>
      <c r="F207" s="56" t="s">
        <v>690</v>
      </c>
      <c r="G207" s="56" t="s">
        <v>118</v>
      </c>
    </row>
    <row r="208" spans="1:7" ht="36.75" customHeight="1">
      <c r="A208" s="55">
        <v>207</v>
      </c>
      <c r="B208" s="55" t="s">
        <v>687</v>
      </c>
      <c r="C208" s="56" t="s">
        <v>790</v>
      </c>
      <c r="D208" s="56" t="s">
        <v>791</v>
      </c>
      <c r="E208" s="56" t="s">
        <v>629</v>
      </c>
      <c r="F208" s="56" t="s">
        <v>690</v>
      </c>
      <c r="G208" s="56" t="s">
        <v>118</v>
      </c>
    </row>
    <row r="209" spans="1:7" ht="36.75" customHeight="1">
      <c r="A209" s="55">
        <v>208</v>
      </c>
      <c r="B209" s="55" t="s">
        <v>687</v>
      </c>
      <c r="C209" s="56" t="s">
        <v>792</v>
      </c>
      <c r="D209" s="56" t="s">
        <v>793</v>
      </c>
      <c r="E209" s="56" t="s">
        <v>629</v>
      </c>
      <c r="F209" s="56" t="s">
        <v>690</v>
      </c>
      <c r="G209" s="56" t="s">
        <v>118</v>
      </c>
    </row>
    <row r="210" spans="1:7" ht="36.75" customHeight="1">
      <c r="A210" s="55">
        <v>209</v>
      </c>
      <c r="B210" s="55" t="s">
        <v>687</v>
      </c>
      <c r="C210" s="56" t="s">
        <v>794</v>
      </c>
      <c r="D210" s="56" t="s">
        <v>795</v>
      </c>
      <c r="E210" s="56" t="s">
        <v>632</v>
      </c>
      <c r="F210" s="56" t="s">
        <v>690</v>
      </c>
      <c r="G210" s="56" t="s">
        <v>118</v>
      </c>
    </row>
    <row r="211" spans="1:7" ht="36.75" customHeight="1">
      <c r="A211" s="55">
        <v>210</v>
      </c>
      <c r="B211" s="55" t="s">
        <v>687</v>
      </c>
      <c r="C211" s="56" t="s">
        <v>796</v>
      </c>
      <c r="D211" s="56" t="s">
        <v>797</v>
      </c>
      <c r="E211" s="56" t="s">
        <v>636</v>
      </c>
      <c r="F211" s="56" t="s">
        <v>690</v>
      </c>
      <c r="G211" s="56" t="s">
        <v>118</v>
      </c>
    </row>
    <row r="212" spans="1:7" ht="36.75" customHeight="1">
      <c r="A212" s="55">
        <v>211</v>
      </c>
      <c r="B212" s="55" t="s">
        <v>687</v>
      </c>
      <c r="C212" s="56" t="s">
        <v>798</v>
      </c>
      <c r="D212" s="56" t="s">
        <v>799</v>
      </c>
      <c r="E212" s="56" t="s">
        <v>800</v>
      </c>
      <c r="F212" s="56" t="s">
        <v>690</v>
      </c>
      <c r="G212" s="56" t="s">
        <v>118</v>
      </c>
    </row>
    <row r="213" spans="1:7" ht="36.75" customHeight="1">
      <c r="A213" s="55">
        <v>212</v>
      </c>
      <c r="B213" s="55" t="s">
        <v>687</v>
      </c>
      <c r="C213" s="56" t="s">
        <v>801</v>
      </c>
      <c r="D213" s="56" t="s">
        <v>802</v>
      </c>
      <c r="E213" s="56" t="s">
        <v>644</v>
      </c>
      <c r="F213" s="56" t="s">
        <v>690</v>
      </c>
      <c r="G213" s="56" t="s">
        <v>118</v>
      </c>
    </row>
    <row r="214" spans="1:7" ht="36.75" customHeight="1">
      <c r="A214" s="55">
        <v>213</v>
      </c>
      <c r="B214" s="55" t="s">
        <v>687</v>
      </c>
      <c r="C214" s="56" t="s">
        <v>803</v>
      </c>
      <c r="D214" s="56" t="s">
        <v>804</v>
      </c>
      <c r="E214" s="56" t="s">
        <v>647</v>
      </c>
      <c r="F214" s="56" t="s">
        <v>690</v>
      </c>
      <c r="G214" s="56" t="s">
        <v>118</v>
      </c>
    </row>
    <row r="215" spans="1:7" ht="36.75" customHeight="1">
      <c r="A215" s="55">
        <v>214</v>
      </c>
      <c r="B215" s="55" t="s">
        <v>687</v>
      </c>
      <c r="C215" s="56" t="s">
        <v>805</v>
      </c>
      <c r="D215" s="56" t="s">
        <v>806</v>
      </c>
      <c r="E215" s="56" t="s">
        <v>652</v>
      </c>
      <c r="F215" s="56" t="s">
        <v>690</v>
      </c>
      <c r="G215" s="56" t="s">
        <v>118</v>
      </c>
    </row>
    <row r="216" spans="1:7" ht="36.75" customHeight="1">
      <c r="A216" s="55">
        <v>215</v>
      </c>
      <c r="B216" s="55" t="s">
        <v>687</v>
      </c>
      <c r="C216" s="56" t="s">
        <v>807</v>
      </c>
      <c r="D216" s="56" t="s">
        <v>808</v>
      </c>
      <c r="E216" s="56" t="s">
        <v>655</v>
      </c>
      <c r="F216" s="56" t="s">
        <v>690</v>
      </c>
      <c r="G216" s="56" t="s">
        <v>118</v>
      </c>
    </row>
    <row r="217" spans="1:7" ht="36.75" customHeight="1">
      <c r="A217" s="55">
        <v>216</v>
      </c>
      <c r="B217" s="55" t="s">
        <v>687</v>
      </c>
      <c r="C217" s="56" t="s">
        <v>809</v>
      </c>
      <c r="D217" s="56" t="s">
        <v>810</v>
      </c>
      <c r="E217" s="56" t="s">
        <v>658</v>
      </c>
      <c r="F217" s="56" t="s">
        <v>690</v>
      </c>
      <c r="G217" s="56" t="s">
        <v>118</v>
      </c>
    </row>
    <row r="218" spans="1:7" ht="36.75" customHeight="1">
      <c r="A218" s="55">
        <v>217</v>
      </c>
      <c r="B218" s="55" t="s">
        <v>687</v>
      </c>
      <c r="C218" s="56" t="s">
        <v>811</v>
      </c>
      <c r="D218" s="56" t="s">
        <v>812</v>
      </c>
      <c r="E218" s="56" t="s">
        <v>661</v>
      </c>
      <c r="F218" s="56" t="s">
        <v>690</v>
      </c>
      <c r="G218" s="56" t="s">
        <v>118</v>
      </c>
    </row>
    <row r="219" spans="1:7" ht="36.75" customHeight="1">
      <c r="A219" s="55">
        <v>218</v>
      </c>
      <c r="B219" s="55" t="s">
        <v>687</v>
      </c>
      <c r="C219" s="56" t="s">
        <v>813</v>
      </c>
      <c r="D219" s="56" t="s">
        <v>814</v>
      </c>
      <c r="E219" s="56" t="s">
        <v>664</v>
      </c>
      <c r="F219" s="56" t="s">
        <v>690</v>
      </c>
      <c r="G219" s="56" t="s">
        <v>118</v>
      </c>
    </row>
    <row r="220" spans="1:7" ht="36.75" customHeight="1">
      <c r="A220" s="55">
        <v>219</v>
      </c>
      <c r="B220" s="55" t="s">
        <v>687</v>
      </c>
      <c r="C220" s="56" t="s">
        <v>815</v>
      </c>
      <c r="D220" s="56" t="s">
        <v>816</v>
      </c>
      <c r="E220" s="56" t="s">
        <v>667</v>
      </c>
      <c r="F220" s="56" t="s">
        <v>690</v>
      </c>
      <c r="G220" s="56" t="s">
        <v>118</v>
      </c>
    </row>
    <row r="221" spans="1:7" ht="36.75" customHeight="1">
      <c r="A221" s="55">
        <v>220</v>
      </c>
      <c r="B221" s="55" t="s">
        <v>687</v>
      </c>
      <c r="C221" s="56" t="s">
        <v>817</v>
      </c>
      <c r="D221" s="56" t="s">
        <v>818</v>
      </c>
      <c r="E221" s="56" t="s">
        <v>671</v>
      </c>
      <c r="F221" s="56" t="s">
        <v>690</v>
      </c>
      <c r="G221" s="56" t="s">
        <v>118</v>
      </c>
    </row>
    <row r="222" spans="1:7" ht="36.75" customHeight="1">
      <c r="A222" s="55">
        <v>221</v>
      </c>
      <c r="B222" s="55" t="s">
        <v>687</v>
      </c>
      <c r="C222" s="56" t="s">
        <v>819</v>
      </c>
      <c r="D222" s="56" t="s">
        <v>820</v>
      </c>
      <c r="E222" s="56" t="s">
        <v>674</v>
      </c>
      <c r="F222" s="56" t="s">
        <v>690</v>
      </c>
      <c r="G222" s="56" t="s">
        <v>118</v>
      </c>
    </row>
    <row r="223" spans="1:7" ht="36.75" customHeight="1">
      <c r="A223" s="55">
        <v>222</v>
      </c>
      <c r="B223" s="55" t="s">
        <v>687</v>
      </c>
      <c r="C223" s="56" t="s">
        <v>821</v>
      </c>
      <c r="D223" s="56" t="s">
        <v>822</v>
      </c>
      <c r="E223" s="56" t="s">
        <v>677</v>
      </c>
      <c r="F223" s="56" t="s">
        <v>690</v>
      </c>
      <c r="G223" s="56" t="s">
        <v>118</v>
      </c>
    </row>
    <row r="224" spans="1:7" ht="36.75" customHeight="1">
      <c r="A224" s="55">
        <v>223</v>
      </c>
      <c r="B224" s="55" t="s">
        <v>687</v>
      </c>
      <c r="C224" s="56" t="s">
        <v>823</v>
      </c>
      <c r="D224" s="56" t="s">
        <v>824</v>
      </c>
      <c r="E224" s="56" t="s">
        <v>680</v>
      </c>
      <c r="F224" s="56" t="s">
        <v>690</v>
      </c>
      <c r="G224" s="56" t="s">
        <v>118</v>
      </c>
    </row>
    <row r="225" spans="1:7" ht="36.75" customHeight="1">
      <c r="A225" s="55">
        <v>224</v>
      </c>
      <c r="B225" s="55" t="s">
        <v>687</v>
      </c>
      <c r="C225" s="56" t="s">
        <v>825</v>
      </c>
      <c r="D225" s="56" t="s">
        <v>826</v>
      </c>
      <c r="E225" s="56" t="s">
        <v>683</v>
      </c>
      <c r="F225" s="56" t="s">
        <v>690</v>
      </c>
      <c r="G225" s="56" t="s">
        <v>118</v>
      </c>
    </row>
    <row r="226" spans="1:7" ht="36.75" customHeight="1">
      <c r="A226" s="55">
        <v>225</v>
      </c>
      <c r="B226" s="55" t="s">
        <v>687</v>
      </c>
      <c r="C226" s="56" t="s">
        <v>827</v>
      </c>
      <c r="D226" s="56" t="s">
        <v>828</v>
      </c>
      <c r="E226" s="56" t="s">
        <v>683</v>
      </c>
      <c r="F226" s="56" t="s">
        <v>690</v>
      </c>
      <c r="G226" s="56" t="s">
        <v>118</v>
      </c>
    </row>
    <row r="227" spans="1:7" ht="36.75" customHeight="1">
      <c r="A227" s="55">
        <v>226</v>
      </c>
      <c r="B227" s="55" t="s">
        <v>687</v>
      </c>
      <c r="C227" s="56" t="s">
        <v>829</v>
      </c>
      <c r="D227" s="56" t="s">
        <v>830</v>
      </c>
      <c r="E227" s="56" t="s">
        <v>686</v>
      </c>
      <c r="F227" s="56" t="s">
        <v>690</v>
      </c>
      <c r="G227" s="56" t="s">
        <v>118</v>
      </c>
    </row>
    <row r="228" spans="1:7" ht="36.75" customHeight="1">
      <c r="A228" s="55">
        <v>227</v>
      </c>
      <c r="B228" s="55" t="s">
        <v>687</v>
      </c>
      <c r="C228" s="56" t="s">
        <v>831</v>
      </c>
      <c r="D228" s="56" t="s">
        <v>832</v>
      </c>
      <c r="E228" s="56" t="s">
        <v>686</v>
      </c>
      <c r="F228" s="56" t="s">
        <v>690</v>
      </c>
      <c r="G228" s="56" t="s">
        <v>118</v>
      </c>
    </row>
    <row r="229" spans="1:7" ht="36.75" customHeight="1">
      <c r="A229" s="52">
        <v>228</v>
      </c>
      <c r="B229" s="52" t="s">
        <v>500</v>
      </c>
      <c r="C229" s="53" t="s">
        <v>833</v>
      </c>
      <c r="D229" s="53" t="s">
        <v>834</v>
      </c>
      <c r="E229" s="53" t="s">
        <v>835</v>
      </c>
      <c r="F229" s="53" t="s">
        <v>836</v>
      </c>
      <c r="G229" s="53" t="s">
        <v>118</v>
      </c>
    </row>
    <row r="230" spans="1:7" ht="36.75" customHeight="1">
      <c r="A230" s="52">
        <v>229</v>
      </c>
      <c r="B230" s="52" t="s">
        <v>500</v>
      </c>
      <c r="C230" s="53" t="s">
        <v>837</v>
      </c>
      <c r="D230" s="53" t="s">
        <v>838</v>
      </c>
      <c r="E230" s="53" t="s">
        <v>839</v>
      </c>
      <c r="F230" s="53" t="s">
        <v>840</v>
      </c>
      <c r="G230" s="53" t="s">
        <v>118</v>
      </c>
    </row>
    <row r="231" spans="1:7" ht="36.75" customHeight="1">
      <c r="A231" s="52">
        <v>230</v>
      </c>
      <c r="B231" s="52" t="s">
        <v>500</v>
      </c>
      <c r="C231" s="53" t="s">
        <v>841</v>
      </c>
      <c r="D231" s="53" t="s">
        <v>842</v>
      </c>
      <c r="E231" s="53" t="s">
        <v>843</v>
      </c>
      <c r="F231" s="53" t="s">
        <v>844</v>
      </c>
      <c r="G231" s="53" t="s">
        <v>118</v>
      </c>
    </row>
    <row r="232" spans="1:7" ht="36.75" customHeight="1">
      <c r="A232" s="52">
        <v>231</v>
      </c>
      <c r="B232" s="52" t="s">
        <v>500</v>
      </c>
      <c r="C232" s="53" t="s">
        <v>845</v>
      </c>
      <c r="D232" s="53" t="s">
        <v>846</v>
      </c>
      <c r="E232" s="53" t="s">
        <v>843</v>
      </c>
      <c r="F232" s="53" t="s">
        <v>847</v>
      </c>
      <c r="G232" s="53" t="s">
        <v>118</v>
      </c>
    </row>
    <row r="233" spans="1:7" ht="36.75" customHeight="1">
      <c r="A233" s="55">
        <v>232</v>
      </c>
      <c r="B233" s="55" t="s">
        <v>687</v>
      </c>
      <c r="C233" s="56" t="s">
        <v>848</v>
      </c>
      <c r="D233" s="56" t="s">
        <v>849</v>
      </c>
      <c r="E233" s="56" t="s">
        <v>836</v>
      </c>
      <c r="F233" s="56" t="s">
        <v>690</v>
      </c>
      <c r="G233" s="56" t="s">
        <v>118</v>
      </c>
    </row>
    <row r="234" spans="1:7" ht="36.75" customHeight="1">
      <c r="A234" s="55">
        <v>233</v>
      </c>
      <c r="B234" s="55" t="s">
        <v>687</v>
      </c>
      <c r="C234" s="56" t="s">
        <v>850</v>
      </c>
      <c r="D234" s="56" t="s">
        <v>851</v>
      </c>
      <c r="E234" s="56" t="s">
        <v>836</v>
      </c>
      <c r="F234" s="56" t="s">
        <v>690</v>
      </c>
      <c r="G234" s="56" t="s">
        <v>118</v>
      </c>
    </row>
    <row r="235" spans="1:7" ht="36.75" customHeight="1">
      <c r="A235" s="55">
        <v>234</v>
      </c>
      <c r="B235" s="55" t="s">
        <v>687</v>
      </c>
      <c r="C235" s="56" t="s">
        <v>852</v>
      </c>
      <c r="D235" s="56" t="s">
        <v>853</v>
      </c>
      <c r="E235" s="56" t="s">
        <v>840</v>
      </c>
      <c r="F235" s="56" t="s">
        <v>690</v>
      </c>
      <c r="G235" s="56" t="s">
        <v>118</v>
      </c>
    </row>
    <row r="236" spans="1:7" ht="36.75" customHeight="1">
      <c r="A236" s="55">
        <v>235</v>
      </c>
      <c r="B236" s="55" t="s">
        <v>687</v>
      </c>
      <c r="C236" s="56" t="s">
        <v>854</v>
      </c>
      <c r="D236" s="56" t="s">
        <v>855</v>
      </c>
      <c r="E236" s="56" t="s">
        <v>840</v>
      </c>
      <c r="F236" s="56" t="s">
        <v>690</v>
      </c>
      <c r="G236" s="56" t="s">
        <v>118</v>
      </c>
    </row>
    <row r="237" spans="1:7" ht="36.75" customHeight="1">
      <c r="A237" s="55">
        <v>236</v>
      </c>
      <c r="B237" s="55" t="s">
        <v>687</v>
      </c>
      <c r="C237" s="56" t="s">
        <v>856</v>
      </c>
      <c r="D237" s="56" t="s">
        <v>857</v>
      </c>
      <c r="E237" s="56" t="s">
        <v>844</v>
      </c>
      <c r="F237" s="56" t="s">
        <v>690</v>
      </c>
      <c r="G237" s="56" t="s">
        <v>118</v>
      </c>
    </row>
    <row r="238" spans="1:7" ht="36.75" customHeight="1">
      <c r="A238" s="55">
        <v>237</v>
      </c>
      <c r="B238" s="55" t="s">
        <v>687</v>
      </c>
      <c r="C238" s="56" t="s">
        <v>858</v>
      </c>
      <c r="D238" s="56" t="s">
        <v>859</v>
      </c>
      <c r="E238" s="56" t="s">
        <v>847</v>
      </c>
      <c r="F238" s="56" t="s">
        <v>690</v>
      </c>
      <c r="G238" s="56" t="s">
        <v>118</v>
      </c>
    </row>
    <row r="239" spans="1:7" ht="36.75" customHeight="1">
      <c r="A239" s="55">
        <v>238</v>
      </c>
      <c r="B239" s="55" t="s">
        <v>687</v>
      </c>
      <c r="C239" s="56" t="s">
        <v>860</v>
      </c>
      <c r="D239" s="56" t="s">
        <v>861</v>
      </c>
      <c r="E239" s="56" t="s">
        <v>847</v>
      </c>
      <c r="F239" s="56" t="s">
        <v>690</v>
      </c>
      <c r="G239" s="56" t="s">
        <v>118</v>
      </c>
    </row>
    <row r="240" spans="1:7" ht="36.75" customHeight="1">
      <c r="A240" s="52">
        <v>239</v>
      </c>
      <c r="B240" s="52" t="s">
        <v>500</v>
      </c>
      <c r="C240" s="53" t="s">
        <v>862</v>
      </c>
      <c r="D240" s="53" t="s">
        <v>863</v>
      </c>
      <c r="E240" s="53" t="s">
        <v>545</v>
      </c>
      <c r="F240" s="53" t="s">
        <v>864</v>
      </c>
      <c r="G240" s="53" t="s">
        <v>118</v>
      </c>
    </row>
    <row r="241" spans="1:7" ht="36.75" customHeight="1">
      <c r="A241" s="55">
        <v>240</v>
      </c>
      <c r="B241" s="55" t="s">
        <v>687</v>
      </c>
      <c r="C241" s="56" t="s">
        <v>865</v>
      </c>
      <c r="D241" s="56" t="s">
        <v>866</v>
      </c>
      <c r="E241" s="56" t="s">
        <v>864</v>
      </c>
      <c r="F241" s="56" t="s">
        <v>690</v>
      </c>
      <c r="G241" s="56" t="s">
        <v>118</v>
      </c>
    </row>
    <row r="242" spans="1:7" ht="36.75" customHeight="1">
      <c r="A242" s="55">
        <v>241</v>
      </c>
      <c r="B242" s="55" t="s">
        <v>687</v>
      </c>
      <c r="C242" s="56" t="s">
        <v>867</v>
      </c>
      <c r="D242" s="56" t="s">
        <v>868</v>
      </c>
      <c r="E242" s="56" t="s">
        <v>864</v>
      </c>
      <c r="F242" s="56" t="s">
        <v>690</v>
      </c>
      <c r="G242" s="56" t="s">
        <v>118</v>
      </c>
    </row>
    <row r="243" spans="1:7" ht="36.75" customHeight="1">
      <c r="A243" s="52">
        <v>242</v>
      </c>
      <c r="B243" s="52" t="s">
        <v>500</v>
      </c>
      <c r="C243" s="53" t="s">
        <v>869</v>
      </c>
      <c r="D243" s="53" t="s">
        <v>870</v>
      </c>
      <c r="E243" s="53" t="s">
        <v>545</v>
      </c>
      <c r="F243" s="53" t="s">
        <v>871</v>
      </c>
      <c r="G243" s="53" t="s">
        <v>118</v>
      </c>
    </row>
    <row r="244" spans="1:7" ht="36.75" customHeight="1">
      <c r="A244" s="55">
        <v>243</v>
      </c>
      <c r="B244" s="55" t="s">
        <v>687</v>
      </c>
      <c r="C244" s="56" t="s">
        <v>872</v>
      </c>
      <c r="D244" s="56" t="s">
        <v>873</v>
      </c>
      <c r="E244" s="56" t="s">
        <v>871</v>
      </c>
      <c r="F244" s="56" t="s">
        <v>690</v>
      </c>
      <c r="G244" s="56" t="s">
        <v>118</v>
      </c>
    </row>
    <row r="245" spans="1:7" ht="36.75" customHeight="1">
      <c r="A245" s="55">
        <v>244</v>
      </c>
      <c r="B245" s="55" t="s">
        <v>687</v>
      </c>
      <c r="C245" s="56" t="s">
        <v>874</v>
      </c>
      <c r="D245" s="56" t="s">
        <v>875</v>
      </c>
      <c r="E245" s="56" t="s">
        <v>871</v>
      </c>
      <c r="F245" s="56" t="s">
        <v>690</v>
      </c>
      <c r="G245" s="56" t="s">
        <v>118</v>
      </c>
    </row>
    <row r="246" spans="1:7" ht="36.75" customHeight="1">
      <c r="A246" s="52">
        <v>245</v>
      </c>
      <c r="B246" s="52" t="s">
        <v>500</v>
      </c>
      <c r="C246" s="53" t="s">
        <v>876</v>
      </c>
      <c r="D246" s="53" t="s">
        <v>877</v>
      </c>
      <c r="E246" s="53" t="s">
        <v>331</v>
      </c>
      <c r="F246" s="53" t="s">
        <v>878</v>
      </c>
      <c r="G246" s="53" t="s">
        <v>118</v>
      </c>
    </row>
    <row r="247" spans="1:7" ht="36.75" customHeight="1">
      <c r="A247" s="55">
        <v>246</v>
      </c>
      <c r="B247" s="55" t="s">
        <v>687</v>
      </c>
      <c r="C247" s="56" t="s">
        <v>879</v>
      </c>
      <c r="D247" s="56" t="s">
        <v>866</v>
      </c>
      <c r="E247" s="56" t="s">
        <v>878</v>
      </c>
      <c r="F247" s="56" t="s">
        <v>690</v>
      </c>
      <c r="G247" s="56" t="s">
        <v>118</v>
      </c>
    </row>
    <row r="248" spans="1:7" ht="36.75" customHeight="1">
      <c r="A248" s="55">
        <v>247</v>
      </c>
      <c r="B248" s="55" t="s">
        <v>687</v>
      </c>
      <c r="C248" s="56" t="s">
        <v>880</v>
      </c>
      <c r="D248" s="56" t="s">
        <v>868</v>
      </c>
      <c r="E248" s="56" t="s">
        <v>878</v>
      </c>
      <c r="F248" s="56" t="s">
        <v>690</v>
      </c>
      <c r="G248" s="56" t="s">
        <v>118</v>
      </c>
    </row>
    <row r="249" spans="1:7" ht="36.75" customHeight="1">
      <c r="A249" s="52">
        <v>248</v>
      </c>
      <c r="B249" s="52" t="s">
        <v>500</v>
      </c>
      <c r="C249" s="53" t="s">
        <v>881</v>
      </c>
      <c r="D249" s="53" t="s">
        <v>882</v>
      </c>
      <c r="E249" s="53" t="s">
        <v>331</v>
      </c>
      <c r="F249" s="53" t="s">
        <v>883</v>
      </c>
      <c r="G249" s="53" t="s">
        <v>118</v>
      </c>
    </row>
    <row r="250" spans="1:7" ht="36.75" customHeight="1">
      <c r="A250" s="55">
        <v>249</v>
      </c>
      <c r="B250" s="55" t="s">
        <v>687</v>
      </c>
      <c r="C250" s="56" t="s">
        <v>884</v>
      </c>
      <c r="D250" s="56" t="s">
        <v>885</v>
      </c>
      <c r="E250" s="56" t="s">
        <v>883</v>
      </c>
      <c r="F250" s="56" t="s">
        <v>690</v>
      </c>
      <c r="G250" s="56" t="s">
        <v>118</v>
      </c>
    </row>
    <row r="251" spans="1:7" ht="36.75" customHeight="1">
      <c r="A251" s="55">
        <v>250</v>
      </c>
      <c r="B251" s="55" t="s">
        <v>687</v>
      </c>
      <c r="C251" s="56" t="s">
        <v>886</v>
      </c>
      <c r="D251" s="56" t="s">
        <v>887</v>
      </c>
      <c r="E251" s="56" t="s">
        <v>883</v>
      </c>
      <c r="F251" s="56" t="s">
        <v>690</v>
      </c>
      <c r="G251" s="56" t="s">
        <v>118</v>
      </c>
    </row>
    <row r="252" spans="1:7" ht="36.75" customHeight="1">
      <c r="A252" s="52">
        <v>251</v>
      </c>
      <c r="B252" s="52" t="s">
        <v>500</v>
      </c>
      <c r="C252" s="53" t="s">
        <v>888</v>
      </c>
      <c r="D252" s="53" t="s">
        <v>889</v>
      </c>
      <c r="E252" s="53" t="s">
        <v>335</v>
      </c>
      <c r="F252" s="53" t="s">
        <v>890</v>
      </c>
      <c r="G252" s="53" t="s">
        <v>118</v>
      </c>
    </row>
    <row r="253" spans="1:7" ht="36.75" customHeight="1">
      <c r="A253" s="55">
        <v>252</v>
      </c>
      <c r="B253" s="55" t="s">
        <v>687</v>
      </c>
      <c r="C253" s="56" t="s">
        <v>891</v>
      </c>
      <c r="D253" s="56" t="s">
        <v>866</v>
      </c>
      <c r="E253" s="56" t="s">
        <v>890</v>
      </c>
      <c r="F253" s="56" t="s">
        <v>690</v>
      </c>
      <c r="G253" s="56" t="s">
        <v>118</v>
      </c>
    </row>
    <row r="254" spans="1:7" ht="36.75" customHeight="1">
      <c r="A254" s="55">
        <v>253</v>
      </c>
      <c r="B254" s="55" t="s">
        <v>687</v>
      </c>
      <c r="C254" s="56" t="s">
        <v>892</v>
      </c>
      <c r="D254" s="56" t="s">
        <v>868</v>
      </c>
      <c r="E254" s="56" t="s">
        <v>890</v>
      </c>
      <c r="F254" s="56" t="s">
        <v>690</v>
      </c>
      <c r="G254" s="56" t="s">
        <v>118</v>
      </c>
    </row>
    <row r="255" spans="1:7" ht="36.75" customHeight="1">
      <c r="A255" s="52">
        <v>254</v>
      </c>
      <c r="B255" s="52" t="s">
        <v>500</v>
      </c>
      <c r="C255" s="53" t="s">
        <v>893</v>
      </c>
      <c r="D255" s="53" t="s">
        <v>894</v>
      </c>
      <c r="E255" s="53" t="s">
        <v>335</v>
      </c>
      <c r="F255" s="53" t="s">
        <v>895</v>
      </c>
      <c r="G255" s="53" t="s">
        <v>118</v>
      </c>
    </row>
    <row r="256" spans="1:7" ht="36.75" customHeight="1">
      <c r="A256" s="55">
        <v>255</v>
      </c>
      <c r="B256" s="55" t="s">
        <v>687</v>
      </c>
      <c r="C256" s="56" t="s">
        <v>896</v>
      </c>
      <c r="D256" s="56" t="s">
        <v>897</v>
      </c>
      <c r="E256" s="56" t="s">
        <v>895</v>
      </c>
      <c r="F256" s="56" t="s">
        <v>690</v>
      </c>
      <c r="G256" s="56" t="s">
        <v>118</v>
      </c>
    </row>
    <row r="257" spans="1:7" ht="36.75" customHeight="1">
      <c r="A257" s="55">
        <v>256</v>
      </c>
      <c r="B257" s="55" t="s">
        <v>687</v>
      </c>
      <c r="C257" s="56" t="s">
        <v>898</v>
      </c>
      <c r="D257" s="56" t="s">
        <v>899</v>
      </c>
      <c r="E257" s="56" t="s">
        <v>895</v>
      </c>
      <c r="F257" s="56" t="s">
        <v>690</v>
      </c>
      <c r="G257" s="56" t="s">
        <v>118</v>
      </c>
    </row>
    <row r="258" spans="1:7" ht="36.75" customHeight="1">
      <c r="A258" s="52">
        <v>257</v>
      </c>
      <c r="B258" s="52" t="s">
        <v>500</v>
      </c>
      <c r="C258" s="53" t="s">
        <v>900</v>
      </c>
      <c r="D258" s="53" t="s">
        <v>901</v>
      </c>
      <c r="E258" s="53" t="s">
        <v>552</v>
      </c>
      <c r="F258" s="53" t="s">
        <v>902</v>
      </c>
      <c r="G258" s="53" t="s">
        <v>118</v>
      </c>
    </row>
    <row r="259" spans="1:7" ht="36.75" customHeight="1">
      <c r="A259" s="55">
        <v>258</v>
      </c>
      <c r="B259" s="55" t="s">
        <v>687</v>
      </c>
      <c r="C259" s="56" t="s">
        <v>872</v>
      </c>
      <c r="D259" s="56" t="s">
        <v>873</v>
      </c>
      <c r="E259" s="56" t="s">
        <v>902</v>
      </c>
      <c r="F259" s="56" t="s">
        <v>690</v>
      </c>
      <c r="G259" s="56" t="s">
        <v>118</v>
      </c>
    </row>
    <row r="260" spans="1:7" ht="36.75" customHeight="1">
      <c r="A260" s="55">
        <v>259</v>
      </c>
      <c r="B260" s="55" t="s">
        <v>687</v>
      </c>
      <c r="C260" s="56" t="s">
        <v>874</v>
      </c>
      <c r="D260" s="56" t="s">
        <v>875</v>
      </c>
      <c r="E260" s="56" t="s">
        <v>902</v>
      </c>
      <c r="F260" s="56" t="s">
        <v>690</v>
      </c>
      <c r="G260" s="56" t="s">
        <v>118</v>
      </c>
    </row>
    <row r="261" spans="1:7" ht="36.75" customHeight="1">
      <c r="A261" s="52">
        <v>260</v>
      </c>
      <c r="B261" s="52" t="s">
        <v>500</v>
      </c>
      <c r="C261" s="53" t="s">
        <v>903</v>
      </c>
      <c r="D261" s="53" t="s">
        <v>904</v>
      </c>
      <c r="E261" s="53" t="s">
        <v>552</v>
      </c>
      <c r="F261" s="53" t="s">
        <v>905</v>
      </c>
      <c r="G261" s="53" t="s">
        <v>118</v>
      </c>
    </row>
    <row r="262" spans="1:7" ht="36.75" customHeight="1">
      <c r="A262" s="55">
        <v>261</v>
      </c>
      <c r="B262" s="55" t="s">
        <v>687</v>
      </c>
      <c r="C262" s="56" t="s">
        <v>906</v>
      </c>
      <c r="D262" s="56" t="s">
        <v>907</v>
      </c>
      <c r="E262" s="56" t="s">
        <v>905</v>
      </c>
      <c r="F262" s="56" t="s">
        <v>690</v>
      </c>
      <c r="G262" s="56" t="s">
        <v>118</v>
      </c>
    </row>
    <row r="263" spans="1:7" ht="36.75" customHeight="1">
      <c r="A263" s="55">
        <v>262</v>
      </c>
      <c r="B263" s="55" t="s">
        <v>687</v>
      </c>
      <c r="C263" s="56" t="s">
        <v>908</v>
      </c>
      <c r="D263" s="56" t="s">
        <v>909</v>
      </c>
      <c r="E263" s="56" t="s">
        <v>905</v>
      </c>
      <c r="F263" s="56" t="s">
        <v>690</v>
      </c>
      <c r="G263" s="56" t="s">
        <v>118</v>
      </c>
    </row>
    <row r="264" spans="1:7" ht="36.75" customHeight="1">
      <c r="A264" s="52">
        <v>263</v>
      </c>
      <c r="B264" s="52" t="s">
        <v>500</v>
      </c>
      <c r="C264" s="53" t="s">
        <v>910</v>
      </c>
      <c r="D264" s="53" t="s">
        <v>911</v>
      </c>
      <c r="E264" s="53" t="s">
        <v>345</v>
      </c>
      <c r="F264" s="53" t="s">
        <v>912</v>
      </c>
      <c r="G264" s="53" t="s">
        <v>118</v>
      </c>
    </row>
    <row r="265" spans="1:7" ht="36.75" customHeight="1">
      <c r="A265" s="55">
        <v>264</v>
      </c>
      <c r="B265" s="55" t="s">
        <v>687</v>
      </c>
      <c r="C265" s="56" t="s">
        <v>913</v>
      </c>
      <c r="D265" s="56" t="s">
        <v>866</v>
      </c>
      <c r="E265" s="56" t="s">
        <v>912</v>
      </c>
      <c r="F265" s="56" t="s">
        <v>690</v>
      </c>
      <c r="G265" s="56" t="s">
        <v>118</v>
      </c>
    </row>
    <row r="266" spans="1:7" ht="36.75" customHeight="1">
      <c r="A266" s="55">
        <v>265</v>
      </c>
      <c r="B266" s="55" t="s">
        <v>687</v>
      </c>
      <c r="C266" s="56" t="s">
        <v>914</v>
      </c>
      <c r="D266" s="56" t="s">
        <v>868</v>
      </c>
      <c r="E266" s="56" t="s">
        <v>912</v>
      </c>
      <c r="F266" s="56" t="s">
        <v>690</v>
      </c>
      <c r="G266" s="56" t="s">
        <v>118</v>
      </c>
    </row>
    <row r="267" spans="1:7" ht="36.75" customHeight="1">
      <c r="A267" s="52">
        <v>266</v>
      </c>
      <c r="B267" s="52" t="s">
        <v>500</v>
      </c>
      <c r="C267" s="53" t="s">
        <v>915</v>
      </c>
      <c r="D267" s="53" t="s">
        <v>916</v>
      </c>
      <c r="E267" s="53" t="s">
        <v>349</v>
      </c>
      <c r="F267" s="53" t="s">
        <v>917</v>
      </c>
      <c r="G267" s="53" t="s">
        <v>118</v>
      </c>
    </row>
    <row r="268" spans="1:7" ht="36.75" customHeight="1">
      <c r="A268" s="55">
        <v>267</v>
      </c>
      <c r="B268" s="55" t="s">
        <v>687</v>
      </c>
      <c r="C268" s="56" t="s">
        <v>872</v>
      </c>
      <c r="D268" s="56" t="s">
        <v>873</v>
      </c>
      <c r="E268" s="56" t="s">
        <v>917</v>
      </c>
      <c r="F268" s="56" t="s">
        <v>690</v>
      </c>
      <c r="G268" s="56" t="s">
        <v>118</v>
      </c>
    </row>
    <row r="269" spans="1:7" ht="36.75" customHeight="1">
      <c r="A269" s="55">
        <v>268</v>
      </c>
      <c r="B269" s="55" t="s">
        <v>687</v>
      </c>
      <c r="C269" s="56" t="s">
        <v>874</v>
      </c>
      <c r="D269" s="56" t="s">
        <v>875</v>
      </c>
      <c r="E269" s="56" t="s">
        <v>917</v>
      </c>
      <c r="F269" s="56" t="s">
        <v>690</v>
      </c>
      <c r="G269" s="56" t="s">
        <v>118</v>
      </c>
    </row>
    <row r="270" spans="1:7" ht="36.75" customHeight="1">
      <c r="A270" s="52">
        <v>269</v>
      </c>
      <c r="B270" s="52" t="s">
        <v>500</v>
      </c>
      <c r="C270" s="53" t="s">
        <v>918</v>
      </c>
      <c r="D270" s="53" t="s">
        <v>919</v>
      </c>
      <c r="E270" s="53" t="s">
        <v>920</v>
      </c>
      <c r="F270" s="53" t="s">
        <v>921</v>
      </c>
      <c r="G270" s="53" t="s">
        <v>118</v>
      </c>
    </row>
    <row r="271" spans="1:7" ht="36.75" customHeight="1">
      <c r="A271" s="55">
        <v>270</v>
      </c>
      <c r="B271" s="55" t="s">
        <v>687</v>
      </c>
      <c r="C271" s="56" t="s">
        <v>922</v>
      </c>
      <c r="D271" s="56" t="s">
        <v>866</v>
      </c>
      <c r="E271" s="56" t="s">
        <v>921</v>
      </c>
      <c r="F271" s="56" t="s">
        <v>690</v>
      </c>
      <c r="G271" s="56" t="s">
        <v>118</v>
      </c>
    </row>
    <row r="272" spans="1:7" ht="36.75" customHeight="1">
      <c r="A272" s="55">
        <v>271</v>
      </c>
      <c r="B272" s="55" t="s">
        <v>687</v>
      </c>
      <c r="C272" s="56" t="s">
        <v>923</v>
      </c>
      <c r="D272" s="56" t="s">
        <v>868</v>
      </c>
      <c r="E272" s="56" t="s">
        <v>921</v>
      </c>
      <c r="F272" s="56" t="s">
        <v>690</v>
      </c>
      <c r="G272" s="56" t="s">
        <v>118</v>
      </c>
    </row>
    <row r="273" spans="1:7" ht="36.75" customHeight="1">
      <c r="A273" s="52">
        <v>272</v>
      </c>
      <c r="B273" s="52" t="s">
        <v>500</v>
      </c>
      <c r="C273" s="53" t="s">
        <v>924</v>
      </c>
      <c r="D273" s="53" t="s">
        <v>925</v>
      </c>
      <c r="E273" s="53" t="s">
        <v>835</v>
      </c>
      <c r="F273" s="53" t="s">
        <v>926</v>
      </c>
      <c r="G273" s="53" t="s">
        <v>118</v>
      </c>
    </row>
    <row r="274" spans="1:7" ht="36.75" customHeight="1">
      <c r="A274" s="55">
        <v>273</v>
      </c>
      <c r="B274" s="55" t="s">
        <v>687</v>
      </c>
      <c r="C274" s="56" t="s">
        <v>896</v>
      </c>
      <c r="D274" s="56" t="s">
        <v>897</v>
      </c>
      <c r="E274" s="56" t="s">
        <v>926</v>
      </c>
      <c r="F274" s="56" t="s">
        <v>690</v>
      </c>
      <c r="G274" s="56" t="s">
        <v>118</v>
      </c>
    </row>
    <row r="275" spans="1:7" ht="36.75" customHeight="1">
      <c r="A275" s="55">
        <v>274</v>
      </c>
      <c r="B275" s="55" t="s">
        <v>687</v>
      </c>
      <c r="C275" s="56" t="s">
        <v>898</v>
      </c>
      <c r="D275" s="56" t="s">
        <v>899</v>
      </c>
      <c r="E275" s="56" t="s">
        <v>926</v>
      </c>
      <c r="F275" s="56" t="s">
        <v>690</v>
      </c>
      <c r="G275" s="56" t="s">
        <v>118</v>
      </c>
    </row>
    <row r="276" spans="1:7" ht="36.75" customHeight="1">
      <c r="A276" s="52">
        <v>275</v>
      </c>
      <c r="B276" s="52" t="s">
        <v>500</v>
      </c>
      <c r="C276" s="53" t="s">
        <v>927</v>
      </c>
      <c r="D276" s="53" t="s">
        <v>928</v>
      </c>
      <c r="E276" s="53" t="s">
        <v>835</v>
      </c>
      <c r="F276" s="53" t="s">
        <v>929</v>
      </c>
      <c r="G276" s="53" t="s">
        <v>118</v>
      </c>
    </row>
    <row r="277" spans="1:7" ht="36.75" customHeight="1">
      <c r="A277" s="55">
        <v>276</v>
      </c>
      <c r="B277" s="55" t="s">
        <v>687</v>
      </c>
      <c r="C277" s="56" t="s">
        <v>906</v>
      </c>
      <c r="D277" s="56" t="s">
        <v>907</v>
      </c>
      <c r="E277" s="56" t="s">
        <v>929</v>
      </c>
      <c r="F277" s="56" t="s">
        <v>690</v>
      </c>
      <c r="G277" s="56" t="s">
        <v>118</v>
      </c>
    </row>
    <row r="278" spans="1:7" ht="36.75" customHeight="1">
      <c r="A278" s="55">
        <v>277</v>
      </c>
      <c r="B278" s="55" t="s">
        <v>687</v>
      </c>
      <c r="C278" s="56" t="s">
        <v>908</v>
      </c>
      <c r="D278" s="56" t="s">
        <v>909</v>
      </c>
      <c r="E278" s="56" t="s">
        <v>929</v>
      </c>
      <c r="F278" s="56" t="s">
        <v>690</v>
      </c>
      <c r="G278" s="56" t="s">
        <v>118</v>
      </c>
    </row>
    <row r="279" spans="1:7" ht="36.75" customHeight="1">
      <c r="A279" s="52">
        <v>278</v>
      </c>
      <c r="B279" s="52" t="s">
        <v>500</v>
      </c>
      <c r="C279" s="53" t="s">
        <v>930</v>
      </c>
      <c r="D279" s="53" t="s">
        <v>931</v>
      </c>
      <c r="E279" s="53" t="s">
        <v>839</v>
      </c>
      <c r="F279" s="53" t="s">
        <v>932</v>
      </c>
      <c r="G279" s="53" t="s">
        <v>118</v>
      </c>
    </row>
    <row r="280" spans="1:7" ht="36.75" customHeight="1">
      <c r="A280" s="55">
        <v>279</v>
      </c>
      <c r="B280" s="55" t="s">
        <v>687</v>
      </c>
      <c r="C280" s="56" t="s">
        <v>872</v>
      </c>
      <c r="D280" s="56" t="s">
        <v>873</v>
      </c>
      <c r="E280" s="56" t="s">
        <v>932</v>
      </c>
      <c r="F280" s="56" t="s">
        <v>690</v>
      </c>
      <c r="G280" s="56" t="s">
        <v>118</v>
      </c>
    </row>
    <row r="281" spans="1:7" ht="36.75" customHeight="1">
      <c r="A281" s="55">
        <v>280</v>
      </c>
      <c r="B281" s="55" t="s">
        <v>687</v>
      </c>
      <c r="C281" s="56" t="s">
        <v>874</v>
      </c>
      <c r="D281" s="56" t="s">
        <v>875</v>
      </c>
      <c r="E281" s="56" t="s">
        <v>932</v>
      </c>
      <c r="F281" s="56" t="s">
        <v>690</v>
      </c>
      <c r="G281" s="56" t="s">
        <v>118</v>
      </c>
    </row>
    <row r="282" spans="1:7" ht="36.75" customHeight="1">
      <c r="A282" s="52">
        <v>281</v>
      </c>
      <c r="B282" s="52" t="s">
        <v>500</v>
      </c>
      <c r="C282" s="53" t="s">
        <v>933</v>
      </c>
      <c r="D282" s="53" t="s">
        <v>934</v>
      </c>
      <c r="E282" s="53" t="s">
        <v>839</v>
      </c>
      <c r="F282" s="53" t="s">
        <v>935</v>
      </c>
      <c r="G282" s="53" t="s">
        <v>118</v>
      </c>
    </row>
    <row r="283" spans="1:7" ht="36.75" customHeight="1">
      <c r="A283" s="55">
        <v>282</v>
      </c>
      <c r="B283" s="55" t="s">
        <v>687</v>
      </c>
      <c r="C283" s="56" t="s">
        <v>884</v>
      </c>
      <c r="D283" s="56" t="s">
        <v>885</v>
      </c>
      <c r="E283" s="56" t="s">
        <v>935</v>
      </c>
      <c r="F283" s="56" t="s">
        <v>690</v>
      </c>
      <c r="G283" s="56" t="s">
        <v>118</v>
      </c>
    </row>
    <row r="284" spans="1:7" ht="36.75" customHeight="1">
      <c r="A284" s="55">
        <v>283</v>
      </c>
      <c r="B284" s="55" t="s">
        <v>687</v>
      </c>
      <c r="C284" s="56" t="s">
        <v>886</v>
      </c>
      <c r="D284" s="56" t="s">
        <v>887</v>
      </c>
      <c r="E284" s="56" t="s">
        <v>935</v>
      </c>
      <c r="F284" s="56" t="s">
        <v>690</v>
      </c>
      <c r="G284" s="56" t="s">
        <v>118</v>
      </c>
    </row>
    <row r="285" spans="1:7" ht="36.75" customHeight="1">
      <c r="A285" s="52">
        <v>284</v>
      </c>
      <c r="B285" s="52" t="s">
        <v>500</v>
      </c>
      <c r="C285" s="53" t="s">
        <v>936</v>
      </c>
      <c r="D285" s="53" t="s">
        <v>937</v>
      </c>
      <c r="E285" s="53" t="s">
        <v>534</v>
      </c>
      <c r="F285" s="53" t="s">
        <v>938</v>
      </c>
      <c r="G285" s="53" t="s">
        <v>118</v>
      </c>
    </row>
    <row r="286" spans="1:7" ht="36.75" customHeight="1">
      <c r="A286" s="55">
        <v>285</v>
      </c>
      <c r="B286" s="55" t="s">
        <v>687</v>
      </c>
      <c r="C286" s="56" t="s">
        <v>906</v>
      </c>
      <c r="D286" s="56" t="s">
        <v>907</v>
      </c>
      <c r="E286" s="56" t="s">
        <v>938</v>
      </c>
      <c r="F286" s="56" t="s">
        <v>690</v>
      </c>
      <c r="G286" s="56" t="s">
        <v>118</v>
      </c>
    </row>
    <row r="287" spans="1:7" ht="36.75" customHeight="1">
      <c r="A287" s="55">
        <v>286</v>
      </c>
      <c r="B287" s="55" t="s">
        <v>687</v>
      </c>
      <c r="C287" s="56" t="s">
        <v>908</v>
      </c>
      <c r="D287" s="56" t="s">
        <v>909</v>
      </c>
      <c r="E287" s="56" t="s">
        <v>938</v>
      </c>
      <c r="F287" s="56" t="s">
        <v>690</v>
      </c>
      <c r="G287" s="56" t="s">
        <v>118</v>
      </c>
    </row>
    <row r="288" spans="1:7" ht="36.75" customHeight="1">
      <c r="A288" s="52">
        <v>287</v>
      </c>
      <c r="B288" s="52" t="s">
        <v>500</v>
      </c>
      <c r="C288" s="53" t="s">
        <v>939</v>
      </c>
      <c r="D288" s="53" t="s">
        <v>940</v>
      </c>
      <c r="E288" s="53" t="s">
        <v>534</v>
      </c>
      <c r="F288" s="53" t="s">
        <v>941</v>
      </c>
      <c r="G288" s="53" t="s">
        <v>118</v>
      </c>
    </row>
    <row r="289" spans="1:7" ht="36.75" customHeight="1">
      <c r="A289" s="55">
        <v>288</v>
      </c>
      <c r="B289" s="55" t="s">
        <v>687</v>
      </c>
      <c r="C289" s="56" t="s">
        <v>884</v>
      </c>
      <c r="D289" s="56" t="s">
        <v>885</v>
      </c>
      <c r="E289" s="56" t="s">
        <v>941</v>
      </c>
      <c r="F289" s="56" t="s">
        <v>690</v>
      </c>
      <c r="G289" s="56" t="s">
        <v>118</v>
      </c>
    </row>
    <row r="290" spans="1:7" ht="36.75" customHeight="1">
      <c r="A290" s="55">
        <v>289</v>
      </c>
      <c r="B290" s="55" t="s">
        <v>687</v>
      </c>
      <c r="C290" s="56" t="s">
        <v>886</v>
      </c>
      <c r="D290" s="56" t="s">
        <v>887</v>
      </c>
      <c r="E290" s="56" t="s">
        <v>941</v>
      </c>
      <c r="F290" s="56" t="s">
        <v>690</v>
      </c>
      <c r="G290" s="56" t="s">
        <v>118</v>
      </c>
    </row>
    <row r="291" spans="1:7" ht="36.75" customHeight="1">
      <c r="A291" s="52">
        <v>290</v>
      </c>
      <c r="B291" s="52" t="s">
        <v>500</v>
      </c>
      <c r="C291" s="53" t="s">
        <v>942</v>
      </c>
      <c r="D291" s="53" t="s">
        <v>943</v>
      </c>
      <c r="E291" s="53" t="s">
        <v>349</v>
      </c>
      <c r="F291" s="53" t="s">
        <v>944</v>
      </c>
      <c r="G291" s="53" t="s">
        <v>118</v>
      </c>
    </row>
    <row r="292" spans="1:7" ht="36.75" customHeight="1">
      <c r="A292" s="55">
        <v>291</v>
      </c>
      <c r="B292" s="55" t="s">
        <v>687</v>
      </c>
      <c r="C292" s="56" t="s">
        <v>945</v>
      </c>
      <c r="D292" s="56" t="s">
        <v>866</v>
      </c>
      <c r="E292" s="56" t="s">
        <v>944</v>
      </c>
      <c r="F292" s="56" t="s">
        <v>690</v>
      </c>
      <c r="G292" s="56" t="s">
        <v>118</v>
      </c>
    </row>
    <row r="293" spans="1:7" ht="36.75" customHeight="1">
      <c r="A293" s="55">
        <v>292</v>
      </c>
      <c r="B293" s="55" t="s">
        <v>687</v>
      </c>
      <c r="C293" s="56" t="s">
        <v>946</v>
      </c>
      <c r="D293" s="56" t="s">
        <v>868</v>
      </c>
      <c r="E293" s="56" t="s">
        <v>944</v>
      </c>
      <c r="F293" s="56" t="s">
        <v>690</v>
      </c>
      <c r="G293" s="56" t="s">
        <v>118</v>
      </c>
    </row>
    <row r="294" spans="1:7" ht="36.75" customHeight="1">
      <c r="A294" s="52">
        <v>293</v>
      </c>
      <c r="B294" s="52" t="s">
        <v>500</v>
      </c>
      <c r="C294" s="53" t="s">
        <v>947</v>
      </c>
      <c r="D294" s="53" t="s">
        <v>948</v>
      </c>
      <c r="E294" s="53" t="s">
        <v>843</v>
      </c>
      <c r="F294" s="53" t="s">
        <v>949</v>
      </c>
      <c r="G294" s="53" t="s">
        <v>118</v>
      </c>
    </row>
    <row r="295" spans="1:7" ht="36.75" customHeight="1">
      <c r="A295" s="55">
        <v>294</v>
      </c>
      <c r="B295" s="55" t="s">
        <v>687</v>
      </c>
      <c r="C295" s="56" t="s">
        <v>872</v>
      </c>
      <c r="D295" s="56" t="s">
        <v>873</v>
      </c>
      <c r="E295" s="56" t="s">
        <v>949</v>
      </c>
      <c r="F295" s="56" t="s">
        <v>690</v>
      </c>
      <c r="G295" s="56" t="s">
        <v>118</v>
      </c>
    </row>
    <row r="296" spans="1:7" ht="36.75" customHeight="1">
      <c r="A296" s="55">
        <v>295</v>
      </c>
      <c r="B296" s="55" t="s">
        <v>687</v>
      </c>
      <c r="C296" s="56" t="s">
        <v>874</v>
      </c>
      <c r="D296" s="56" t="s">
        <v>875</v>
      </c>
      <c r="E296" s="56" t="s">
        <v>949</v>
      </c>
      <c r="F296" s="56" t="s">
        <v>690</v>
      </c>
      <c r="G296" s="56" t="s">
        <v>118</v>
      </c>
    </row>
    <row r="297" spans="1:7" ht="36.75" customHeight="1">
      <c r="A297" s="52">
        <v>296</v>
      </c>
      <c r="B297" s="52" t="s">
        <v>500</v>
      </c>
      <c r="C297" s="53" t="s">
        <v>950</v>
      </c>
      <c r="D297" s="53" t="s">
        <v>951</v>
      </c>
      <c r="E297" s="53" t="s">
        <v>382</v>
      </c>
      <c r="F297" s="53" t="s">
        <v>952</v>
      </c>
      <c r="G297" s="53" t="s">
        <v>118</v>
      </c>
    </row>
    <row r="298" spans="1:7" ht="36.75" customHeight="1">
      <c r="A298" s="55">
        <v>297</v>
      </c>
      <c r="B298" s="55" t="s">
        <v>687</v>
      </c>
      <c r="C298" s="56" t="s">
        <v>872</v>
      </c>
      <c r="D298" s="56" t="s">
        <v>873</v>
      </c>
      <c r="E298" s="56" t="s">
        <v>952</v>
      </c>
      <c r="F298" s="56" t="s">
        <v>690</v>
      </c>
      <c r="G298" s="56" t="s">
        <v>118</v>
      </c>
    </row>
    <row r="299" spans="1:7" ht="36.75" customHeight="1">
      <c r="A299" s="55">
        <v>298</v>
      </c>
      <c r="B299" s="55" t="s">
        <v>687</v>
      </c>
      <c r="C299" s="56" t="s">
        <v>874</v>
      </c>
      <c r="D299" s="56" t="s">
        <v>875</v>
      </c>
      <c r="E299" s="56" t="s">
        <v>952</v>
      </c>
      <c r="F299" s="56" t="s">
        <v>690</v>
      </c>
      <c r="G299" s="56" t="s">
        <v>118</v>
      </c>
    </row>
    <row r="300" spans="1:7" ht="36.75" customHeight="1">
      <c r="A300" s="52">
        <v>299</v>
      </c>
      <c r="B300" s="52" t="s">
        <v>500</v>
      </c>
      <c r="C300" s="53" t="s">
        <v>953</v>
      </c>
      <c r="D300" s="53" t="s">
        <v>954</v>
      </c>
      <c r="E300" s="53" t="s">
        <v>382</v>
      </c>
      <c r="F300" s="53" t="s">
        <v>955</v>
      </c>
      <c r="G300" s="53" t="s">
        <v>118</v>
      </c>
    </row>
    <row r="301" spans="1:7" ht="36.75" customHeight="1">
      <c r="A301" s="55">
        <v>300</v>
      </c>
      <c r="B301" s="55" t="s">
        <v>687</v>
      </c>
      <c r="C301" s="56" t="s">
        <v>896</v>
      </c>
      <c r="D301" s="56" t="s">
        <v>897</v>
      </c>
      <c r="E301" s="56" t="s">
        <v>955</v>
      </c>
      <c r="F301" s="56" t="s">
        <v>690</v>
      </c>
      <c r="G301" s="56" t="s">
        <v>118</v>
      </c>
    </row>
    <row r="302" spans="1:7" ht="36.75" customHeight="1">
      <c r="A302" s="55">
        <v>301</v>
      </c>
      <c r="B302" s="55" t="s">
        <v>687</v>
      </c>
      <c r="C302" s="56" t="s">
        <v>898</v>
      </c>
      <c r="D302" s="56" t="s">
        <v>899</v>
      </c>
      <c r="E302" s="56" t="s">
        <v>955</v>
      </c>
      <c r="F302" s="56" t="s">
        <v>690</v>
      </c>
      <c r="G302" s="56" t="s">
        <v>118</v>
      </c>
    </row>
    <row r="303" spans="1:7" ht="36.75" customHeight="1">
      <c r="A303" s="52">
        <v>302</v>
      </c>
      <c r="B303" s="52" t="s">
        <v>500</v>
      </c>
      <c r="C303" s="53" t="s">
        <v>956</v>
      </c>
      <c r="D303" s="53" t="s">
        <v>957</v>
      </c>
      <c r="E303" s="53" t="s">
        <v>556</v>
      </c>
      <c r="F303" s="53" t="s">
        <v>958</v>
      </c>
      <c r="G303" s="53" t="s">
        <v>118</v>
      </c>
    </row>
    <row r="304" spans="1:7" ht="36.75" customHeight="1">
      <c r="A304" s="55">
        <v>303</v>
      </c>
      <c r="B304" s="55" t="s">
        <v>687</v>
      </c>
      <c r="C304" s="56" t="s">
        <v>906</v>
      </c>
      <c r="D304" s="56" t="s">
        <v>907</v>
      </c>
      <c r="E304" s="56" t="s">
        <v>958</v>
      </c>
      <c r="F304" s="56" t="s">
        <v>690</v>
      </c>
      <c r="G304" s="56" t="s">
        <v>118</v>
      </c>
    </row>
    <row r="305" spans="1:7" ht="36.75" customHeight="1">
      <c r="A305" s="55">
        <v>304</v>
      </c>
      <c r="B305" s="55" t="s">
        <v>687</v>
      </c>
      <c r="C305" s="56" t="s">
        <v>908</v>
      </c>
      <c r="D305" s="56" t="s">
        <v>909</v>
      </c>
      <c r="E305" s="56" t="s">
        <v>958</v>
      </c>
      <c r="F305" s="56" t="s">
        <v>690</v>
      </c>
      <c r="G305" s="56" t="s">
        <v>118</v>
      </c>
    </row>
    <row r="306" spans="1:7" ht="36.75" customHeight="1">
      <c r="A306" s="52">
        <v>305</v>
      </c>
      <c r="B306" s="52" t="s">
        <v>500</v>
      </c>
      <c r="C306" s="53" t="s">
        <v>959</v>
      </c>
      <c r="D306" s="53" t="s">
        <v>960</v>
      </c>
      <c r="E306" s="53" t="s">
        <v>556</v>
      </c>
      <c r="F306" s="53" t="s">
        <v>961</v>
      </c>
      <c r="G306" s="53" t="s">
        <v>118</v>
      </c>
    </row>
    <row r="307" spans="1:7" ht="36.75" customHeight="1">
      <c r="A307" s="55">
        <v>306</v>
      </c>
      <c r="B307" s="55" t="s">
        <v>687</v>
      </c>
      <c r="C307" s="56" t="s">
        <v>896</v>
      </c>
      <c r="D307" s="56" t="s">
        <v>897</v>
      </c>
      <c r="E307" s="56" t="s">
        <v>961</v>
      </c>
      <c r="F307" s="56" t="s">
        <v>690</v>
      </c>
      <c r="G307" s="56" t="s">
        <v>118</v>
      </c>
    </row>
    <row r="308" spans="1:7" ht="36.75" customHeight="1">
      <c r="A308" s="55">
        <v>307</v>
      </c>
      <c r="B308" s="55" t="s">
        <v>687</v>
      </c>
      <c r="C308" s="56" t="s">
        <v>898</v>
      </c>
      <c r="D308" s="56" t="s">
        <v>899</v>
      </c>
      <c r="E308" s="56" t="s">
        <v>961</v>
      </c>
      <c r="F308" s="56" t="s">
        <v>690</v>
      </c>
      <c r="G308" s="56" t="s">
        <v>118</v>
      </c>
    </row>
    <row r="309" spans="1:7" ht="36.75" customHeight="1">
      <c r="A309" s="52">
        <v>308</v>
      </c>
      <c r="B309" s="52" t="s">
        <v>500</v>
      </c>
      <c r="C309" s="53" t="s">
        <v>962</v>
      </c>
      <c r="D309" s="53" t="s">
        <v>963</v>
      </c>
      <c r="E309" s="53" t="s">
        <v>523</v>
      </c>
      <c r="F309" s="53" t="s">
        <v>964</v>
      </c>
      <c r="G309" s="53" t="s">
        <v>118</v>
      </c>
    </row>
    <row r="310" spans="1:7" ht="36.75" customHeight="1">
      <c r="A310" s="55">
        <v>309</v>
      </c>
      <c r="B310" s="55" t="s">
        <v>687</v>
      </c>
      <c r="C310" s="56" t="s">
        <v>872</v>
      </c>
      <c r="D310" s="56" t="s">
        <v>873</v>
      </c>
      <c r="E310" s="56" t="s">
        <v>964</v>
      </c>
      <c r="F310" s="56" t="s">
        <v>690</v>
      </c>
      <c r="G310" s="56" t="s">
        <v>118</v>
      </c>
    </row>
    <row r="311" spans="1:7" ht="36.75" customHeight="1">
      <c r="A311" s="55">
        <v>310</v>
      </c>
      <c r="B311" s="55" t="s">
        <v>687</v>
      </c>
      <c r="C311" s="56" t="s">
        <v>874</v>
      </c>
      <c r="D311" s="56" t="s">
        <v>875</v>
      </c>
      <c r="E311" s="56" t="s">
        <v>964</v>
      </c>
      <c r="F311" s="56" t="s">
        <v>690</v>
      </c>
      <c r="G311" s="56" t="s">
        <v>118</v>
      </c>
    </row>
    <row r="312" spans="1:7" ht="36.75" customHeight="1">
      <c r="A312" s="52">
        <v>311</v>
      </c>
      <c r="B312" s="52" t="s">
        <v>500</v>
      </c>
      <c r="C312" s="53" t="s">
        <v>965</v>
      </c>
      <c r="D312" s="53" t="s">
        <v>966</v>
      </c>
      <c r="E312" s="53" t="s">
        <v>541</v>
      </c>
      <c r="F312" s="53" t="s">
        <v>967</v>
      </c>
      <c r="G312" s="53" t="s">
        <v>118</v>
      </c>
    </row>
    <row r="313" spans="1:7" ht="36.75" customHeight="1">
      <c r="A313" s="55">
        <v>312</v>
      </c>
      <c r="B313" s="55" t="s">
        <v>687</v>
      </c>
      <c r="C313" s="56" t="s">
        <v>896</v>
      </c>
      <c r="D313" s="56" t="s">
        <v>897</v>
      </c>
      <c r="E313" s="56" t="s">
        <v>967</v>
      </c>
      <c r="F313" s="56" t="s">
        <v>690</v>
      </c>
      <c r="G313" s="56" t="s">
        <v>118</v>
      </c>
    </row>
    <row r="314" spans="1:7" ht="36.75" customHeight="1">
      <c r="A314" s="55">
        <v>313</v>
      </c>
      <c r="B314" s="55" t="s">
        <v>687</v>
      </c>
      <c r="C314" s="56" t="s">
        <v>898</v>
      </c>
      <c r="D314" s="56" t="s">
        <v>899</v>
      </c>
      <c r="E314" s="56" t="s">
        <v>967</v>
      </c>
      <c r="F314" s="56" t="s">
        <v>690</v>
      </c>
      <c r="G314" s="56" t="s">
        <v>118</v>
      </c>
    </row>
    <row r="315" spans="1:7" ht="36.75" customHeight="1">
      <c r="A315" s="52">
        <v>314</v>
      </c>
      <c r="B315" s="52" t="s">
        <v>500</v>
      </c>
      <c r="C315" s="53" t="s">
        <v>968</v>
      </c>
      <c r="D315" s="53" t="s">
        <v>969</v>
      </c>
      <c r="E315" s="53" t="s">
        <v>970</v>
      </c>
      <c r="F315" s="53" t="s">
        <v>971</v>
      </c>
      <c r="G315" s="53" t="s">
        <v>118</v>
      </c>
    </row>
    <row r="316" spans="1:7" ht="36.75" customHeight="1">
      <c r="A316" s="55">
        <v>315</v>
      </c>
      <c r="B316" s="55" t="s">
        <v>687</v>
      </c>
      <c r="C316" s="56" t="s">
        <v>872</v>
      </c>
      <c r="D316" s="56" t="s">
        <v>873</v>
      </c>
      <c r="E316" s="56" t="s">
        <v>971</v>
      </c>
      <c r="F316" s="56" t="s">
        <v>690</v>
      </c>
      <c r="G316" s="56" t="s">
        <v>118</v>
      </c>
    </row>
    <row r="317" spans="1:7" ht="36.75" customHeight="1">
      <c r="A317" s="55">
        <v>316</v>
      </c>
      <c r="B317" s="55" t="s">
        <v>687</v>
      </c>
      <c r="C317" s="56" t="s">
        <v>874</v>
      </c>
      <c r="D317" s="56" t="s">
        <v>875</v>
      </c>
      <c r="E317" s="56" t="s">
        <v>971</v>
      </c>
      <c r="F317" s="56" t="s">
        <v>690</v>
      </c>
      <c r="G317" s="56" t="s">
        <v>118</v>
      </c>
    </row>
    <row r="318" spans="1:7" ht="36.75" customHeight="1">
      <c r="A318" s="52">
        <v>317</v>
      </c>
      <c r="B318" s="52" t="s">
        <v>500</v>
      </c>
      <c r="C318" s="53" t="s">
        <v>972</v>
      </c>
      <c r="D318" s="53" t="s">
        <v>973</v>
      </c>
      <c r="E318" s="53" t="s">
        <v>970</v>
      </c>
      <c r="F318" s="53" t="s">
        <v>974</v>
      </c>
      <c r="G318" s="53" t="s">
        <v>118</v>
      </c>
    </row>
    <row r="319" spans="1:7" ht="36.75" customHeight="1">
      <c r="A319" s="55">
        <v>318</v>
      </c>
      <c r="B319" s="55" t="s">
        <v>687</v>
      </c>
      <c r="C319" s="56" t="s">
        <v>884</v>
      </c>
      <c r="D319" s="56" t="s">
        <v>885</v>
      </c>
      <c r="E319" s="56" t="s">
        <v>974</v>
      </c>
      <c r="F319" s="56" t="s">
        <v>690</v>
      </c>
      <c r="G319" s="56" t="s">
        <v>118</v>
      </c>
    </row>
    <row r="320" spans="1:7" ht="36.75" customHeight="1">
      <c r="A320" s="55">
        <v>319</v>
      </c>
      <c r="B320" s="55" t="s">
        <v>687</v>
      </c>
      <c r="C320" s="56" t="s">
        <v>886</v>
      </c>
      <c r="D320" s="56" t="s">
        <v>887</v>
      </c>
      <c r="E320" s="56" t="s">
        <v>974</v>
      </c>
      <c r="F320" s="56" t="s">
        <v>690</v>
      </c>
      <c r="G320" s="56" t="s">
        <v>118</v>
      </c>
    </row>
    <row r="321" spans="1:7" ht="36.75" customHeight="1">
      <c r="A321" s="52">
        <v>320</v>
      </c>
      <c r="B321" s="52" t="s">
        <v>500</v>
      </c>
      <c r="C321" s="53" t="s">
        <v>975</v>
      </c>
      <c r="D321" s="53" t="s">
        <v>976</v>
      </c>
      <c r="E321" s="53" t="s">
        <v>530</v>
      </c>
      <c r="F321" s="53" t="s">
        <v>977</v>
      </c>
      <c r="G321" s="53" t="s">
        <v>118</v>
      </c>
    </row>
    <row r="322" spans="1:7" ht="36.75" customHeight="1">
      <c r="A322" s="55">
        <v>321</v>
      </c>
      <c r="B322" s="55" t="s">
        <v>687</v>
      </c>
      <c r="C322" s="56" t="s">
        <v>896</v>
      </c>
      <c r="D322" s="56" t="s">
        <v>897</v>
      </c>
      <c r="E322" s="56" t="s">
        <v>977</v>
      </c>
      <c r="F322" s="56" t="s">
        <v>690</v>
      </c>
      <c r="G322" s="56" t="s">
        <v>118</v>
      </c>
    </row>
    <row r="323" spans="1:7" ht="36.75" customHeight="1">
      <c r="A323" s="55">
        <v>322</v>
      </c>
      <c r="B323" s="55" t="s">
        <v>687</v>
      </c>
      <c r="C323" s="56" t="s">
        <v>898</v>
      </c>
      <c r="D323" s="56" t="s">
        <v>899</v>
      </c>
      <c r="E323" s="56" t="s">
        <v>977</v>
      </c>
      <c r="F323" s="56" t="s">
        <v>690</v>
      </c>
      <c r="G323" s="56" t="s">
        <v>118</v>
      </c>
    </row>
    <row r="324" spans="1:7" ht="36.75" customHeight="1">
      <c r="A324" s="52">
        <v>323</v>
      </c>
      <c r="B324" s="52" t="s">
        <v>500</v>
      </c>
      <c r="C324" s="53" t="s">
        <v>978</v>
      </c>
      <c r="D324" s="53" t="s">
        <v>979</v>
      </c>
      <c r="E324" s="53" t="s">
        <v>530</v>
      </c>
      <c r="F324" s="53" t="s">
        <v>980</v>
      </c>
      <c r="G324" s="53" t="s">
        <v>118</v>
      </c>
    </row>
    <row r="325" spans="1:7" ht="36.75" customHeight="1">
      <c r="A325" s="55">
        <v>324</v>
      </c>
      <c r="B325" s="55" t="s">
        <v>687</v>
      </c>
      <c r="C325" s="56" t="s">
        <v>872</v>
      </c>
      <c r="D325" s="56" t="s">
        <v>873</v>
      </c>
      <c r="E325" s="56" t="s">
        <v>980</v>
      </c>
      <c r="F325" s="56" t="s">
        <v>690</v>
      </c>
      <c r="G325" s="56" t="s">
        <v>118</v>
      </c>
    </row>
    <row r="326" spans="1:7" ht="36.75" customHeight="1">
      <c r="A326" s="55">
        <v>325</v>
      </c>
      <c r="B326" s="55" t="s">
        <v>687</v>
      </c>
      <c r="C326" s="56" t="s">
        <v>874</v>
      </c>
      <c r="D326" s="56" t="s">
        <v>875</v>
      </c>
      <c r="E326" s="56" t="s">
        <v>980</v>
      </c>
      <c r="F326" s="56" t="s">
        <v>690</v>
      </c>
      <c r="G326" s="56" t="s">
        <v>118</v>
      </c>
    </row>
    <row r="327" spans="1:7" ht="36.75" customHeight="1">
      <c r="A327" s="52">
        <v>326</v>
      </c>
      <c r="B327" s="52" t="s">
        <v>500</v>
      </c>
      <c r="C327" s="53" t="s">
        <v>981</v>
      </c>
      <c r="D327" s="53" t="s">
        <v>982</v>
      </c>
      <c r="E327" s="53" t="s">
        <v>983</v>
      </c>
      <c r="F327" s="53" t="s">
        <v>984</v>
      </c>
      <c r="G327" s="53" t="s">
        <v>118</v>
      </c>
    </row>
    <row r="328" spans="1:7" ht="36.75" customHeight="1">
      <c r="A328" s="55">
        <v>327</v>
      </c>
      <c r="B328" s="55" t="s">
        <v>687</v>
      </c>
      <c r="C328" s="56" t="s">
        <v>906</v>
      </c>
      <c r="D328" s="56" t="s">
        <v>907</v>
      </c>
      <c r="E328" s="56" t="s">
        <v>984</v>
      </c>
      <c r="F328" s="56" t="s">
        <v>690</v>
      </c>
      <c r="G328" s="56" t="s">
        <v>118</v>
      </c>
    </row>
    <row r="329" spans="1:7" ht="36.75" customHeight="1">
      <c r="A329" s="55">
        <v>328</v>
      </c>
      <c r="B329" s="55" t="s">
        <v>687</v>
      </c>
      <c r="C329" s="56" t="s">
        <v>908</v>
      </c>
      <c r="D329" s="56" t="s">
        <v>909</v>
      </c>
      <c r="E329" s="56" t="s">
        <v>984</v>
      </c>
      <c r="F329" s="56" t="s">
        <v>690</v>
      </c>
      <c r="G329" s="56" t="s">
        <v>118</v>
      </c>
    </row>
    <row r="330" spans="1:7" ht="36.75" customHeight="1">
      <c r="A330" s="52">
        <v>329</v>
      </c>
      <c r="B330" s="52" t="s">
        <v>500</v>
      </c>
      <c r="C330" s="53" t="s">
        <v>985</v>
      </c>
      <c r="D330" s="53" t="s">
        <v>986</v>
      </c>
      <c r="E330" s="53" t="s">
        <v>983</v>
      </c>
      <c r="F330" s="53" t="s">
        <v>987</v>
      </c>
      <c r="G330" s="53" t="s">
        <v>118</v>
      </c>
    </row>
    <row r="331" spans="1:7" ht="36.75" customHeight="1">
      <c r="A331" s="55">
        <v>330</v>
      </c>
      <c r="B331" s="55" t="s">
        <v>687</v>
      </c>
      <c r="C331" s="56" t="s">
        <v>872</v>
      </c>
      <c r="D331" s="56" t="s">
        <v>873</v>
      </c>
      <c r="E331" s="56" t="s">
        <v>987</v>
      </c>
      <c r="F331" s="56" t="s">
        <v>690</v>
      </c>
      <c r="G331" s="56" t="s">
        <v>118</v>
      </c>
    </row>
    <row r="332" spans="1:7" ht="36.75" customHeight="1">
      <c r="A332" s="55">
        <v>331</v>
      </c>
      <c r="B332" s="55" t="s">
        <v>687</v>
      </c>
      <c r="C332" s="56" t="s">
        <v>874</v>
      </c>
      <c r="D332" s="56" t="s">
        <v>875</v>
      </c>
      <c r="E332" s="56" t="s">
        <v>987</v>
      </c>
      <c r="F332" s="56" t="s">
        <v>690</v>
      </c>
      <c r="G332" s="56" t="s">
        <v>118</v>
      </c>
    </row>
    <row r="333" spans="1:7" ht="36.75" customHeight="1">
      <c r="A333" s="52">
        <v>332</v>
      </c>
      <c r="B333" s="52" t="s">
        <v>500</v>
      </c>
      <c r="C333" s="53" t="s">
        <v>988</v>
      </c>
      <c r="D333" s="53" t="s">
        <v>989</v>
      </c>
      <c r="E333" s="53" t="s">
        <v>567</v>
      </c>
      <c r="F333" s="53" t="s">
        <v>990</v>
      </c>
      <c r="G333" s="53" t="s">
        <v>118</v>
      </c>
    </row>
    <row r="334" spans="1:7" ht="36.75" customHeight="1">
      <c r="A334" s="55">
        <v>333</v>
      </c>
      <c r="B334" s="55" t="s">
        <v>687</v>
      </c>
      <c r="C334" s="56" t="s">
        <v>991</v>
      </c>
      <c r="D334" s="56" t="s">
        <v>866</v>
      </c>
      <c r="E334" s="56" t="s">
        <v>990</v>
      </c>
      <c r="F334" s="56" t="s">
        <v>690</v>
      </c>
      <c r="G334" s="56" t="s">
        <v>118</v>
      </c>
    </row>
    <row r="335" spans="1:7" ht="36.75" customHeight="1">
      <c r="A335" s="55">
        <v>334</v>
      </c>
      <c r="B335" s="55" t="s">
        <v>687</v>
      </c>
      <c r="C335" s="56" t="s">
        <v>992</v>
      </c>
      <c r="D335" s="56" t="s">
        <v>868</v>
      </c>
      <c r="E335" s="56" t="s">
        <v>990</v>
      </c>
      <c r="F335" s="56" t="s">
        <v>690</v>
      </c>
      <c r="G335" s="56" t="s">
        <v>118</v>
      </c>
    </row>
    <row r="336" spans="1:7" ht="36.75" customHeight="1">
      <c r="A336" s="52">
        <v>335</v>
      </c>
      <c r="B336" s="52" t="s">
        <v>500</v>
      </c>
      <c r="C336" s="53" t="s">
        <v>993</v>
      </c>
      <c r="D336" s="53" t="s">
        <v>994</v>
      </c>
      <c r="E336" s="53" t="s">
        <v>567</v>
      </c>
      <c r="F336" s="53" t="s">
        <v>995</v>
      </c>
      <c r="G336" s="53" t="s">
        <v>118</v>
      </c>
    </row>
    <row r="337" spans="1:7" ht="36.75" customHeight="1">
      <c r="A337" s="55">
        <v>336</v>
      </c>
      <c r="B337" s="55" t="s">
        <v>687</v>
      </c>
      <c r="C337" s="56" t="s">
        <v>896</v>
      </c>
      <c r="D337" s="56" t="s">
        <v>897</v>
      </c>
      <c r="E337" s="56" t="s">
        <v>995</v>
      </c>
      <c r="F337" s="56" t="s">
        <v>690</v>
      </c>
      <c r="G337" s="56" t="s">
        <v>118</v>
      </c>
    </row>
    <row r="338" spans="1:7" ht="36.75" customHeight="1">
      <c r="A338" s="55">
        <v>337</v>
      </c>
      <c r="B338" s="55" t="s">
        <v>687</v>
      </c>
      <c r="C338" s="56" t="s">
        <v>898</v>
      </c>
      <c r="D338" s="56" t="s">
        <v>899</v>
      </c>
      <c r="E338" s="56" t="s">
        <v>995</v>
      </c>
      <c r="F338" s="56" t="s">
        <v>690</v>
      </c>
      <c r="G338" s="56" t="s">
        <v>118</v>
      </c>
    </row>
    <row r="339" spans="1:7" ht="36.75" customHeight="1">
      <c r="A339" s="52">
        <v>338</v>
      </c>
      <c r="B339" s="52" t="s">
        <v>500</v>
      </c>
      <c r="C339" s="53" t="s">
        <v>996</v>
      </c>
      <c r="D339" s="53" t="s">
        <v>997</v>
      </c>
      <c r="E339" s="53" t="s">
        <v>563</v>
      </c>
      <c r="F339" s="53" t="s">
        <v>998</v>
      </c>
      <c r="G339" s="53" t="s">
        <v>118</v>
      </c>
    </row>
    <row r="340" spans="1:7" ht="36.75" customHeight="1">
      <c r="A340" s="55">
        <v>339</v>
      </c>
      <c r="B340" s="55" t="s">
        <v>687</v>
      </c>
      <c r="C340" s="56" t="s">
        <v>872</v>
      </c>
      <c r="D340" s="56" t="s">
        <v>873</v>
      </c>
      <c r="E340" s="56" t="s">
        <v>998</v>
      </c>
      <c r="F340" s="56" t="s">
        <v>690</v>
      </c>
      <c r="G340" s="56" t="s">
        <v>118</v>
      </c>
    </row>
    <row r="341" spans="1:7" ht="36.75" customHeight="1">
      <c r="A341" s="55">
        <v>340</v>
      </c>
      <c r="B341" s="55" t="s">
        <v>687</v>
      </c>
      <c r="C341" s="56" t="s">
        <v>874</v>
      </c>
      <c r="D341" s="56" t="s">
        <v>875</v>
      </c>
      <c r="E341" s="56" t="s">
        <v>998</v>
      </c>
      <c r="F341" s="56" t="s">
        <v>690</v>
      </c>
      <c r="G341" s="56" t="s">
        <v>118</v>
      </c>
    </row>
    <row r="342" spans="1:7" ht="36.75" customHeight="1">
      <c r="A342" s="52">
        <v>341</v>
      </c>
      <c r="B342" s="52" t="s">
        <v>500</v>
      </c>
      <c r="C342" s="53" t="s">
        <v>999</v>
      </c>
      <c r="D342" s="53" t="s">
        <v>1000</v>
      </c>
      <c r="E342" s="53" t="s">
        <v>563</v>
      </c>
      <c r="F342" s="53" t="s">
        <v>1001</v>
      </c>
      <c r="G342" s="53" t="s">
        <v>118</v>
      </c>
    </row>
    <row r="343" spans="1:7" ht="36.75" customHeight="1">
      <c r="A343" s="55">
        <v>342</v>
      </c>
      <c r="B343" s="55" t="s">
        <v>687</v>
      </c>
      <c r="C343" s="56" t="s">
        <v>872</v>
      </c>
      <c r="D343" s="56" t="s">
        <v>873</v>
      </c>
      <c r="E343" s="56" t="s">
        <v>1001</v>
      </c>
      <c r="F343" s="56" t="s">
        <v>690</v>
      </c>
      <c r="G343" s="56" t="s">
        <v>118</v>
      </c>
    </row>
    <row r="344" spans="1:7" ht="36.75" customHeight="1">
      <c r="A344" s="55">
        <v>343</v>
      </c>
      <c r="B344" s="55" t="s">
        <v>687</v>
      </c>
      <c r="C344" s="56" t="s">
        <v>874</v>
      </c>
      <c r="D344" s="56" t="s">
        <v>875</v>
      </c>
      <c r="E344" s="56" t="s">
        <v>1001</v>
      </c>
      <c r="F344" s="56" t="s">
        <v>690</v>
      </c>
      <c r="G344" s="56" t="s">
        <v>118</v>
      </c>
    </row>
    <row r="345" spans="1:7" ht="36.75" customHeight="1">
      <c r="A345" s="52">
        <v>344</v>
      </c>
      <c r="B345" s="52" t="s">
        <v>500</v>
      </c>
      <c r="C345" s="53" t="s">
        <v>1002</v>
      </c>
      <c r="D345" s="53" t="s">
        <v>1003</v>
      </c>
      <c r="E345" s="53" t="s">
        <v>592</v>
      </c>
      <c r="F345" s="53" t="s">
        <v>1004</v>
      </c>
      <c r="G345" s="53" t="s">
        <v>118</v>
      </c>
    </row>
    <row r="346" spans="1:7" ht="36.75" customHeight="1">
      <c r="A346" s="55">
        <v>345</v>
      </c>
      <c r="B346" s="55" t="s">
        <v>687</v>
      </c>
      <c r="C346" s="56" t="s">
        <v>1005</v>
      </c>
      <c r="D346" s="56" t="s">
        <v>866</v>
      </c>
      <c r="E346" s="56" t="s">
        <v>1004</v>
      </c>
      <c r="F346" s="56" t="s">
        <v>690</v>
      </c>
      <c r="G346" s="56" t="s">
        <v>118</v>
      </c>
    </row>
    <row r="347" spans="1:7" ht="36.75" customHeight="1">
      <c r="A347" s="55">
        <v>346</v>
      </c>
      <c r="B347" s="55" t="s">
        <v>687</v>
      </c>
      <c r="C347" s="56" t="s">
        <v>1006</v>
      </c>
      <c r="D347" s="56" t="s">
        <v>868</v>
      </c>
      <c r="E347" s="56" t="s">
        <v>1004</v>
      </c>
      <c r="F347" s="56" t="s">
        <v>690</v>
      </c>
      <c r="G347" s="56" t="s">
        <v>118</v>
      </c>
    </row>
    <row r="348" spans="1:7" ht="36.75" customHeight="1">
      <c r="A348" s="52">
        <v>347</v>
      </c>
      <c r="B348" s="52" t="s">
        <v>500</v>
      </c>
      <c r="C348" s="53" t="s">
        <v>1007</v>
      </c>
      <c r="D348" s="53" t="s">
        <v>1008</v>
      </c>
      <c r="E348" s="53" t="s">
        <v>451</v>
      </c>
      <c r="F348" s="53" t="s">
        <v>1009</v>
      </c>
      <c r="G348" s="53" t="s">
        <v>118</v>
      </c>
    </row>
    <row r="349" spans="1:7" ht="36.75" customHeight="1">
      <c r="A349" s="55">
        <v>348</v>
      </c>
      <c r="B349" s="55" t="s">
        <v>687</v>
      </c>
      <c r="C349" s="56" t="s">
        <v>884</v>
      </c>
      <c r="D349" s="56" t="s">
        <v>885</v>
      </c>
      <c r="E349" s="56" t="s">
        <v>1009</v>
      </c>
      <c r="F349" s="56" t="s">
        <v>690</v>
      </c>
      <c r="G349" s="56" t="s">
        <v>118</v>
      </c>
    </row>
    <row r="350" spans="1:7" ht="36.75" customHeight="1">
      <c r="A350" s="55">
        <v>349</v>
      </c>
      <c r="B350" s="55" t="s">
        <v>687</v>
      </c>
      <c r="C350" s="56" t="s">
        <v>886</v>
      </c>
      <c r="D350" s="56" t="s">
        <v>887</v>
      </c>
      <c r="E350" s="56" t="s">
        <v>1009</v>
      </c>
      <c r="F350" s="56" t="s">
        <v>690</v>
      </c>
      <c r="G350" s="56" t="s">
        <v>118</v>
      </c>
    </row>
    <row r="351" spans="1:7" ht="36.75" customHeight="1">
      <c r="A351" s="52">
        <v>350</v>
      </c>
      <c r="B351" s="52" t="s">
        <v>500</v>
      </c>
      <c r="C351" s="53" t="s">
        <v>1010</v>
      </c>
      <c r="D351" s="53" t="s">
        <v>1011</v>
      </c>
      <c r="E351" s="53" t="s">
        <v>451</v>
      </c>
      <c r="F351" s="53" t="s">
        <v>1012</v>
      </c>
      <c r="G351" s="53" t="s">
        <v>118</v>
      </c>
    </row>
    <row r="352" spans="1:7" ht="36.75" customHeight="1">
      <c r="A352" s="55">
        <v>351</v>
      </c>
      <c r="B352" s="55" t="s">
        <v>687</v>
      </c>
      <c r="C352" s="56" t="s">
        <v>1013</v>
      </c>
      <c r="D352" s="56" t="s">
        <v>866</v>
      </c>
      <c r="E352" s="56" t="s">
        <v>1012</v>
      </c>
      <c r="F352" s="56" t="s">
        <v>690</v>
      </c>
      <c r="G352" s="56" t="s">
        <v>118</v>
      </c>
    </row>
    <row r="353" spans="1:7" ht="36.75" customHeight="1">
      <c r="A353" s="55">
        <v>352</v>
      </c>
      <c r="B353" s="55" t="s">
        <v>687</v>
      </c>
      <c r="C353" s="56" t="s">
        <v>1014</v>
      </c>
      <c r="D353" s="56" t="s">
        <v>868</v>
      </c>
      <c r="E353" s="56" t="s">
        <v>1012</v>
      </c>
      <c r="F353" s="56" t="s">
        <v>690</v>
      </c>
      <c r="G353" s="56" t="s">
        <v>118</v>
      </c>
    </row>
    <row r="354" spans="1:7" ht="36.75" customHeight="1">
      <c r="A354" s="52">
        <v>353</v>
      </c>
      <c r="B354" s="52" t="s">
        <v>500</v>
      </c>
      <c r="C354" s="53" t="s">
        <v>1015</v>
      </c>
      <c r="D354" s="53" t="s">
        <v>1016</v>
      </c>
      <c r="E354" s="53" t="s">
        <v>1017</v>
      </c>
      <c r="F354" s="53" t="s">
        <v>1018</v>
      </c>
      <c r="G354" s="53" t="s">
        <v>118</v>
      </c>
    </row>
    <row r="355" spans="1:7" ht="36.75" customHeight="1">
      <c r="A355" s="55">
        <v>354</v>
      </c>
      <c r="B355" s="55" t="s">
        <v>687</v>
      </c>
      <c r="C355" s="56" t="s">
        <v>896</v>
      </c>
      <c r="D355" s="56" t="s">
        <v>897</v>
      </c>
      <c r="E355" s="56" t="s">
        <v>1018</v>
      </c>
      <c r="F355" s="56" t="s">
        <v>690</v>
      </c>
      <c r="G355" s="56" t="s">
        <v>118</v>
      </c>
    </row>
    <row r="356" spans="1:7" ht="36.75" customHeight="1">
      <c r="A356" s="55">
        <v>355</v>
      </c>
      <c r="B356" s="55" t="s">
        <v>687</v>
      </c>
      <c r="C356" s="56" t="s">
        <v>898</v>
      </c>
      <c r="D356" s="56" t="s">
        <v>899</v>
      </c>
      <c r="E356" s="56" t="s">
        <v>1018</v>
      </c>
      <c r="F356" s="56" t="s">
        <v>690</v>
      </c>
      <c r="G356" s="56" t="s">
        <v>118</v>
      </c>
    </row>
    <row r="357" spans="1:7" ht="36.75" customHeight="1">
      <c r="A357" s="52">
        <v>356</v>
      </c>
      <c r="B357" s="52" t="s">
        <v>500</v>
      </c>
      <c r="C357" s="53" t="s">
        <v>1019</v>
      </c>
      <c r="D357" s="53" t="s">
        <v>1020</v>
      </c>
      <c r="E357" s="53" t="s">
        <v>480</v>
      </c>
      <c r="F357" s="53" t="s">
        <v>1021</v>
      </c>
      <c r="G357" s="53" t="s">
        <v>118</v>
      </c>
    </row>
    <row r="358" spans="1:7" ht="36.75" customHeight="1">
      <c r="A358" s="55">
        <v>357</v>
      </c>
      <c r="B358" s="55" t="s">
        <v>687</v>
      </c>
      <c r="C358" s="56" t="s">
        <v>872</v>
      </c>
      <c r="D358" s="56" t="s">
        <v>873</v>
      </c>
      <c r="E358" s="56" t="s">
        <v>1021</v>
      </c>
      <c r="F358" s="56" t="s">
        <v>690</v>
      </c>
      <c r="G358" s="56" t="s">
        <v>118</v>
      </c>
    </row>
    <row r="359" spans="1:7" ht="36.75" customHeight="1">
      <c r="A359" s="55">
        <v>358</v>
      </c>
      <c r="B359" s="55" t="s">
        <v>687</v>
      </c>
      <c r="C359" s="56" t="s">
        <v>874</v>
      </c>
      <c r="D359" s="56" t="s">
        <v>875</v>
      </c>
      <c r="E359" s="56" t="s">
        <v>1021</v>
      </c>
      <c r="F359" s="56" t="s">
        <v>690</v>
      </c>
      <c r="G359" s="56" t="s">
        <v>118</v>
      </c>
    </row>
    <row r="360" spans="1:7" ht="36.75" customHeight="1">
      <c r="A360" s="52">
        <v>359</v>
      </c>
      <c r="B360" s="52" t="s">
        <v>500</v>
      </c>
      <c r="C360" s="53" t="s">
        <v>1022</v>
      </c>
      <c r="D360" s="53" t="s">
        <v>1023</v>
      </c>
      <c r="E360" s="53" t="s">
        <v>480</v>
      </c>
      <c r="F360" s="53" t="s">
        <v>1024</v>
      </c>
      <c r="G360" s="53" t="s">
        <v>118</v>
      </c>
    </row>
    <row r="361" spans="1:7" ht="36.75" customHeight="1">
      <c r="A361" s="55">
        <v>360</v>
      </c>
      <c r="B361" s="55" t="s">
        <v>687</v>
      </c>
      <c r="C361" s="56" t="s">
        <v>1025</v>
      </c>
      <c r="D361" s="56" t="s">
        <v>1026</v>
      </c>
      <c r="E361" s="56" t="s">
        <v>1024</v>
      </c>
      <c r="F361" s="56" t="s">
        <v>690</v>
      </c>
      <c r="G361" s="56" t="s">
        <v>118</v>
      </c>
    </row>
    <row r="362" spans="1:7" ht="36.75" customHeight="1">
      <c r="A362" s="55">
        <v>361</v>
      </c>
      <c r="B362" s="55" t="s">
        <v>687</v>
      </c>
      <c r="C362" s="56" t="s">
        <v>1027</v>
      </c>
      <c r="D362" s="56" t="s">
        <v>1028</v>
      </c>
      <c r="E362" s="56" t="s">
        <v>1024</v>
      </c>
      <c r="F362" s="56" t="s">
        <v>690</v>
      </c>
      <c r="G362" s="56" t="s">
        <v>118</v>
      </c>
    </row>
    <row r="363" spans="1:7" ht="36.75" customHeight="1">
      <c r="A363" s="52">
        <v>362</v>
      </c>
      <c r="B363" s="52" t="s">
        <v>500</v>
      </c>
      <c r="C363" s="53" t="s">
        <v>1029</v>
      </c>
      <c r="D363" s="53" t="s">
        <v>1030</v>
      </c>
      <c r="E363" s="53" t="s">
        <v>483</v>
      </c>
      <c r="F363" s="53" t="s">
        <v>1031</v>
      </c>
      <c r="G363" s="53" t="s">
        <v>118</v>
      </c>
    </row>
    <row r="364" spans="1:7" ht="36.75" customHeight="1">
      <c r="A364" s="55">
        <v>363</v>
      </c>
      <c r="B364" s="55" t="s">
        <v>687</v>
      </c>
      <c r="C364" s="56" t="s">
        <v>1032</v>
      </c>
      <c r="D364" s="56" t="s">
        <v>866</v>
      </c>
      <c r="E364" s="56" t="s">
        <v>1031</v>
      </c>
      <c r="F364" s="56" t="s">
        <v>690</v>
      </c>
      <c r="G364" s="56" t="s">
        <v>118</v>
      </c>
    </row>
    <row r="365" spans="1:7" ht="36.75" customHeight="1">
      <c r="A365" s="55">
        <v>364</v>
      </c>
      <c r="B365" s="55" t="s">
        <v>687</v>
      </c>
      <c r="C365" s="56" t="s">
        <v>1033</v>
      </c>
      <c r="D365" s="56" t="s">
        <v>868</v>
      </c>
      <c r="E365" s="56" t="s">
        <v>1031</v>
      </c>
      <c r="F365" s="56" t="s">
        <v>690</v>
      </c>
      <c r="G365" s="56" t="s">
        <v>118</v>
      </c>
    </row>
    <row r="366" spans="1:7" ht="36.75" customHeight="1">
      <c r="A366" s="52">
        <v>365</v>
      </c>
      <c r="B366" s="52" t="s">
        <v>500</v>
      </c>
      <c r="C366" s="53" t="s">
        <v>1034</v>
      </c>
      <c r="D366" s="53" t="s">
        <v>1035</v>
      </c>
      <c r="E366" s="53" t="s">
        <v>486</v>
      </c>
      <c r="F366" s="53" t="s">
        <v>1036</v>
      </c>
      <c r="G366" s="53" t="s">
        <v>118</v>
      </c>
    </row>
    <row r="367" spans="1:7" ht="36.75" customHeight="1">
      <c r="A367" s="55">
        <v>366</v>
      </c>
      <c r="B367" s="55" t="s">
        <v>687</v>
      </c>
      <c r="C367" s="56" t="s">
        <v>1025</v>
      </c>
      <c r="D367" s="56" t="s">
        <v>1026</v>
      </c>
      <c r="E367" s="56" t="s">
        <v>1036</v>
      </c>
      <c r="F367" s="56" t="s">
        <v>690</v>
      </c>
      <c r="G367" s="56" t="s">
        <v>118</v>
      </c>
    </row>
    <row r="368" spans="1:7" ht="36.75" customHeight="1">
      <c r="A368" s="55">
        <v>367</v>
      </c>
      <c r="B368" s="55" t="s">
        <v>687</v>
      </c>
      <c r="C368" s="56" t="s">
        <v>1027</v>
      </c>
      <c r="D368" s="56" t="s">
        <v>1028</v>
      </c>
      <c r="E368" s="56" t="s">
        <v>1036</v>
      </c>
      <c r="F368" s="56" t="s">
        <v>690</v>
      </c>
      <c r="G368" s="56" t="s">
        <v>118</v>
      </c>
    </row>
    <row r="369" spans="1:7" ht="36.75" customHeight="1">
      <c r="A369" s="52">
        <v>368</v>
      </c>
      <c r="B369" s="52" t="s">
        <v>500</v>
      </c>
      <c r="C369" s="53" t="s">
        <v>1037</v>
      </c>
      <c r="D369" s="53" t="s">
        <v>1038</v>
      </c>
      <c r="E369" s="53" t="s">
        <v>490</v>
      </c>
      <c r="F369" s="53" t="s">
        <v>1039</v>
      </c>
      <c r="G369" s="53" t="s">
        <v>118</v>
      </c>
    </row>
    <row r="370" spans="1:7" ht="36.75" customHeight="1">
      <c r="A370" s="55">
        <v>369</v>
      </c>
      <c r="B370" s="55" t="s">
        <v>687</v>
      </c>
      <c r="C370" s="56" t="s">
        <v>1025</v>
      </c>
      <c r="D370" s="56" t="s">
        <v>1026</v>
      </c>
      <c r="E370" s="56" t="s">
        <v>1039</v>
      </c>
      <c r="F370" s="56" t="s">
        <v>690</v>
      </c>
      <c r="G370" s="56" t="s">
        <v>118</v>
      </c>
    </row>
    <row r="371" spans="1:7" ht="36.75" customHeight="1">
      <c r="A371" s="55">
        <v>370</v>
      </c>
      <c r="B371" s="55" t="s">
        <v>687</v>
      </c>
      <c r="C371" s="56" t="s">
        <v>1027</v>
      </c>
      <c r="D371" s="56" t="s">
        <v>1028</v>
      </c>
      <c r="E371" s="56" t="s">
        <v>1039</v>
      </c>
      <c r="F371" s="56" t="s">
        <v>690</v>
      </c>
      <c r="G371" s="56" t="s">
        <v>118</v>
      </c>
    </row>
    <row r="372" spans="1:7" ht="36.75" customHeight="1">
      <c r="A372" s="52">
        <v>371</v>
      </c>
      <c r="B372" s="52" t="s">
        <v>500</v>
      </c>
      <c r="C372" s="53" t="s">
        <v>1040</v>
      </c>
      <c r="D372" s="53" t="s">
        <v>1041</v>
      </c>
      <c r="E372" s="53" t="s">
        <v>496</v>
      </c>
      <c r="F372" s="53" t="s">
        <v>1042</v>
      </c>
      <c r="G372" s="53" t="s">
        <v>118</v>
      </c>
    </row>
    <row r="373" spans="1:7" ht="36.75" customHeight="1">
      <c r="A373" s="55">
        <v>372</v>
      </c>
      <c r="B373" s="55" t="s">
        <v>687</v>
      </c>
      <c r="C373" s="56" t="s">
        <v>1043</v>
      </c>
      <c r="D373" s="56" t="s">
        <v>866</v>
      </c>
      <c r="E373" s="56" t="s">
        <v>1042</v>
      </c>
      <c r="F373" s="56" t="s">
        <v>690</v>
      </c>
      <c r="G373" s="56" t="s">
        <v>118</v>
      </c>
    </row>
    <row r="374" spans="1:7" ht="36.75" customHeight="1">
      <c r="A374" s="55">
        <v>373</v>
      </c>
      <c r="B374" s="55" t="s">
        <v>687</v>
      </c>
      <c r="C374" s="56" t="s">
        <v>1044</v>
      </c>
      <c r="D374" s="56" t="s">
        <v>868</v>
      </c>
      <c r="E374" s="56" t="s">
        <v>1042</v>
      </c>
      <c r="F374" s="56" t="s">
        <v>690</v>
      </c>
      <c r="G374" s="56" t="s">
        <v>118</v>
      </c>
    </row>
    <row r="375" spans="1:7" ht="36.75" customHeight="1">
      <c r="A375" s="55">
        <v>374</v>
      </c>
      <c r="B375" s="55" t="s">
        <v>687</v>
      </c>
      <c r="C375" s="56" t="s">
        <v>1045</v>
      </c>
      <c r="D375" s="56" t="s">
        <v>1046</v>
      </c>
      <c r="E375" s="56" t="s">
        <v>511</v>
      </c>
      <c r="F375" s="56" t="s">
        <v>690</v>
      </c>
      <c r="G375" s="56" t="s">
        <v>118</v>
      </c>
    </row>
    <row r="376" spans="1:7" ht="36.75" customHeight="1">
      <c r="A376" s="55">
        <v>375</v>
      </c>
      <c r="B376" s="55" t="s">
        <v>687</v>
      </c>
      <c r="C376" s="56" t="s">
        <v>1047</v>
      </c>
      <c r="D376" s="56" t="s">
        <v>1046</v>
      </c>
      <c r="E376" s="56" t="s">
        <v>516</v>
      </c>
      <c r="F376" s="56" t="s">
        <v>690</v>
      </c>
      <c r="G376" s="56" t="s">
        <v>118</v>
      </c>
    </row>
    <row r="377" spans="1:7" ht="36.75" customHeight="1">
      <c r="A377" s="55">
        <v>376</v>
      </c>
      <c r="B377" s="55" t="s">
        <v>687</v>
      </c>
      <c r="C377" s="56" t="s">
        <v>1048</v>
      </c>
      <c r="D377" s="56" t="s">
        <v>1046</v>
      </c>
      <c r="E377" s="56" t="s">
        <v>520</v>
      </c>
      <c r="F377" s="56" t="s">
        <v>690</v>
      </c>
      <c r="G377" s="56" t="s">
        <v>118</v>
      </c>
    </row>
    <row r="378" spans="1:7" ht="36.75" customHeight="1">
      <c r="A378" s="55">
        <v>377</v>
      </c>
      <c r="B378" s="55" t="s">
        <v>687</v>
      </c>
      <c r="C378" s="56" t="s">
        <v>1049</v>
      </c>
      <c r="D378" s="56" t="s">
        <v>1046</v>
      </c>
      <c r="E378" s="56" t="s">
        <v>527</v>
      </c>
      <c r="F378" s="56" t="s">
        <v>690</v>
      </c>
      <c r="G378" s="56" t="s">
        <v>118</v>
      </c>
    </row>
    <row r="379" spans="1:7" ht="36.75" customHeight="1">
      <c r="A379" s="55">
        <v>378</v>
      </c>
      <c r="B379" s="55" t="s">
        <v>687</v>
      </c>
      <c r="C379" s="56" t="s">
        <v>1050</v>
      </c>
      <c r="D379" s="56" t="s">
        <v>1046</v>
      </c>
      <c r="E379" s="56" t="s">
        <v>535</v>
      </c>
      <c r="F379" s="56" t="s">
        <v>690</v>
      </c>
      <c r="G379" s="56" t="s">
        <v>118</v>
      </c>
    </row>
    <row r="380" spans="1:7" ht="36.75" customHeight="1">
      <c r="A380" s="55">
        <v>379</v>
      </c>
      <c r="B380" s="55" t="s">
        <v>687</v>
      </c>
      <c r="C380" s="56" t="s">
        <v>1051</v>
      </c>
      <c r="D380" s="56" t="s">
        <v>1052</v>
      </c>
      <c r="E380" s="56" t="s">
        <v>542</v>
      </c>
      <c r="F380" s="56" t="s">
        <v>690</v>
      </c>
      <c r="G380" s="56" t="s">
        <v>118</v>
      </c>
    </row>
    <row r="381" spans="1:7" ht="36.75" customHeight="1">
      <c r="A381" s="55">
        <v>380</v>
      </c>
      <c r="B381" s="55" t="s">
        <v>687</v>
      </c>
      <c r="C381" s="56" t="s">
        <v>1053</v>
      </c>
      <c r="D381" s="56" t="s">
        <v>1046</v>
      </c>
      <c r="E381" s="56" t="s">
        <v>557</v>
      </c>
      <c r="F381" s="56" t="s">
        <v>690</v>
      </c>
      <c r="G381" s="56" t="s">
        <v>118</v>
      </c>
    </row>
    <row r="382" spans="1:7" ht="36.75" customHeight="1">
      <c r="A382" s="55">
        <v>381</v>
      </c>
      <c r="B382" s="55" t="s">
        <v>687</v>
      </c>
      <c r="C382" s="56" t="s">
        <v>1054</v>
      </c>
      <c r="D382" s="56" t="s">
        <v>1052</v>
      </c>
      <c r="E382" s="56" t="s">
        <v>564</v>
      </c>
      <c r="F382" s="56" t="s">
        <v>690</v>
      </c>
      <c r="G382" s="56" t="s">
        <v>118</v>
      </c>
    </row>
    <row r="383" spans="1:7" ht="36.75" customHeight="1">
      <c r="A383" s="55">
        <v>382</v>
      </c>
      <c r="B383" s="55" t="s">
        <v>687</v>
      </c>
      <c r="C383" s="56" t="s">
        <v>1055</v>
      </c>
      <c r="D383" s="56" t="s">
        <v>1052</v>
      </c>
      <c r="E383" s="56" t="s">
        <v>568</v>
      </c>
      <c r="F383" s="56" t="s">
        <v>690</v>
      </c>
      <c r="G383" s="56" t="s">
        <v>118</v>
      </c>
    </row>
    <row r="384" spans="1:7" ht="36.75" customHeight="1">
      <c r="A384" s="55">
        <v>383</v>
      </c>
      <c r="B384" s="55" t="s">
        <v>687</v>
      </c>
      <c r="C384" s="56" t="s">
        <v>1056</v>
      </c>
      <c r="D384" s="56" t="s">
        <v>1052</v>
      </c>
      <c r="E384" s="56" t="s">
        <v>572</v>
      </c>
      <c r="F384" s="56" t="s">
        <v>690</v>
      </c>
      <c r="G384" s="56" t="s">
        <v>118</v>
      </c>
    </row>
    <row r="385" spans="1:7" ht="36.75" customHeight="1">
      <c r="A385" s="55">
        <v>384</v>
      </c>
      <c r="B385" s="55" t="s">
        <v>687</v>
      </c>
      <c r="C385" s="56" t="s">
        <v>1057</v>
      </c>
      <c r="D385" s="56" t="s">
        <v>1058</v>
      </c>
      <c r="E385" s="56" t="s">
        <v>586</v>
      </c>
      <c r="F385" s="56" t="s">
        <v>690</v>
      </c>
      <c r="G385" s="56" t="s">
        <v>118</v>
      </c>
    </row>
    <row r="386" spans="1:7" ht="36.75" customHeight="1">
      <c r="A386" s="55">
        <v>385</v>
      </c>
      <c r="B386" s="55" t="s">
        <v>687</v>
      </c>
      <c r="C386" s="56" t="s">
        <v>1059</v>
      </c>
      <c r="D386" s="56" t="s">
        <v>1060</v>
      </c>
      <c r="E386" s="56" t="s">
        <v>593</v>
      </c>
      <c r="F386" s="56" t="s">
        <v>690</v>
      </c>
      <c r="G386" s="56" t="s">
        <v>118</v>
      </c>
    </row>
    <row r="387" spans="1:7" ht="36.75" customHeight="1">
      <c r="A387" s="55">
        <v>386</v>
      </c>
      <c r="B387" s="55" t="s">
        <v>687</v>
      </c>
      <c r="C387" s="56" t="s">
        <v>1061</v>
      </c>
      <c r="D387" s="56" t="s">
        <v>1060</v>
      </c>
      <c r="E387" s="56" t="s">
        <v>597</v>
      </c>
      <c r="F387" s="56" t="s">
        <v>690</v>
      </c>
      <c r="G387" s="56" t="s">
        <v>118</v>
      </c>
    </row>
    <row r="388" spans="1:7" ht="36.75" customHeight="1">
      <c r="A388" s="55">
        <v>387</v>
      </c>
      <c r="B388" s="55" t="s">
        <v>687</v>
      </c>
      <c r="C388" s="56" t="s">
        <v>1062</v>
      </c>
      <c r="D388" s="56" t="s">
        <v>1060</v>
      </c>
      <c r="E388" s="56" t="s">
        <v>604</v>
      </c>
      <c r="F388" s="56" t="s">
        <v>690</v>
      </c>
      <c r="G388" s="56" t="s">
        <v>118</v>
      </c>
    </row>
    <row r="389" spans="1:7" ht="36.75" customHeight="1">
      <c r="A389" s="55">
        <v>388</v>
      </c>
      <c r="B389" s="55" t="s">
        <v>687</v>
      </c>
      <c r="C389" s="56" t="s">
        <v>1063</v>
      </c>
      <c r="D389" s="56" t="s">
        <v>1064</v>
      </c>
      <c r="E389" s="56" t="s">
        <v>611</v>
      </c>
      <c r="F389" s="56" t="s">
        <v>690</v>
      </c>
      <c r="G389" s="56" t="s">
        <v>118</v>
      </c>
    </row>
    <row r="390" spans="1:7" ht="36.75" customHeight="1">
      <c r="A390" s="55">
        <v>389</v>
      </c>
      <c r="B390" s="55" t="s">
        <v>687</v>
      </c>
      <c r="C390" s="56" t="s">
        <v>1065</v>
      </c>
      <c r="D390" s="56" t="s">
        <v>1052</v>
      </c>
      <c r="E390" s="56" t="s">
        <v>614</v>
      </c>
      <c r="F390" s="56" t="s">
        <v>690</v>
      </c>
      <c r="G390" s="56" t="s">
        <v>118</v>
      </c>
    </row>
    <row r="391" spans="1:7" ht="36.75" customHeight="1">
      <c r="A391" s="55">
        <v>390</v>
      </c>
      <c r="B391" s="55" t="s">
        <v>687</v>
      </c>
      <c r="C391" s="56" t="s">
        <v>1066</v>
      </c>
      <c r="D391" s="56" t="s">
        <v>1064</v>
      </c>
      <c r="E391" s="56" t="s">
        <v>617</v>
      </c>
      <c r="F391" s="56" t="s">
        <v>690</v>
      </c>
      <c r="G391" s="56" t="s">
        <v>118</v>
      </c>
    </row>
    <row r="392" spans="1:7" ht="36.75" customHeight="1">
      <c r="A392" s="55">
        <v>391</v>
      </c>
      <c r="B392" s="55" t="s">
        <v>687</v>
      </c>
      <c r="C392" s="56" t="s">
        <v>1067</v>
      </c>
      <c r="D392" s="56" t="s">
        <v>1064</v>
      </c>
      <c r="E392" s="56" t="s">
        <v>621</v>
      </c>
      <c r="F392" s="56" t="s">
        <v>690</v>
      </c>
      <c r="G392" s="56" t="s">
        <v>118</v>
      </c>
    </row>
    <row r="393" spans="1:7" ht="36.75" customHeight="1">
      <c r="A393" s="55">
        <v>392</v>
      </c>
      <c r="B393" s="55" t="s">
        <v>687</v>
      </c>
      <c r="C393" s="56" t="s">
        <v>1068</v>
      </c>
      <c r="D393" s="56" t="s">
        <v>1064</v>
      </c>
      <c r="E393" s="56" t="s">
        <v>632</v>
      </c>
      <c r="F393" s="56" t="s">
        <v>690</v>
      </c>
      <c r="G393" s="56" t="s">
        <v>118</v>
      </c>
    </row>
    <row r="394" spans="1:7" ht="36.75" customHeight="1">
      <c r="A394" s="55">
        <v>393</v>
      </c>
      <c r="B394" s="55" t="s">
        <v>687</v>
      </c>
      <c r="C394" s="56" t="s">
        <v>1069</v>
      </c>
      <c r="D394" s="56" t="s">
        <v>1064</v>
      </c>
      <c r="E394" s="56" t="s">
        <v>636</v>
      </c>
      <c r="F394" s="56" t="s">
        <v>690</v>
      </c>
      <c r="G394" s="56" t="s">
        <v>118</v>
      </c>
    </row>
    <row r="395" spans="1:7" ht="36.75" customHeight="1">
      <c r="A395" s="55">
        <v>394</v>
      </c>
      <c r="B395" s="55" t="s">
        <v>687</v>
      </c>
      <c r="C395" s="56" t="s">
        <v>1070</v>
      </c>
      <c r="D395" s="56" t="s">
        <v>1064</v>
      </c>
      <c r="E395" s="56" t="s">
        <v>644</v>
      </c>
      <c r="F395" s="56" t="s">
        <v>690</v>
      </c>
      <c r="G395" s="56" t="s">
        <v>118</v>
      </c>
    </row>
    <row r="396" spans="1:7" ht="36.75" customHeight="1">
      <c r="A396" s="55">
        <v>395</v>
      </c>
      <c r="B396" s="55" t="s">
        <v>687</v>
      </c>
      <c r="C396" s="56" t="s">
        <v>1071</v>
      </c>
      <c r="D396" s="56" t="s">
        <v>1072</v>
      </c>
      <c r="E396" s="56" t="s">
        <v>647</v>
      </c>
      <c r="F396" s="56" t="s">
        <v>690</v>
      </c>
      <c r="G396" s="56" t="s">
        <v>118</v>
      </c>
    </row>
    <row r="397" spans="1:7" ht="36.75" customHeight="1">
      <c r="A397" s="55">
        <v>396</v>
      </c>
      <c r="B397" s="55" t="s">
        <v>687</v>
      </c>
      <c r="C397" s="56" t="s">
        <v>1073</v>
      </c>
      <c r="D397" s="56" t="s">
        <v>1052</v>
      </c>
      <c r="E397" s="56" t="s">
        <v>647</v>
      </c>
      <c r="F397" s="56" t="s">
        <v>690</v>
      </c>
      <c r="G397" s="56" t="s">
        <v>118</v>
      </c>
    </row>
    <row r="398" spans="1:7" ht="36.75" customHeight="1">
      <c r="A398" s="55">
        <v>397</v>
      </c>
      <c r="B398" s="55" t="s">
        <v>687</v>
      </c>
      <c r="C398" s="56" t="s">
        <v>1074</v>
      </c>
      <c r="D398" s="56" t="s">
        <v>1072</v>
      </c>
      <c r="E398" s="56" t="s">
        <v>652</v>
      </c>
      <c r="F398" s="56" t="s">
        <v>690</v>
      </c>
      <c r="G398" s="56" t="s">
        <v>118</v>
      </c>
    </row>
    <row r="399" spans="1:7" ht="36.75" customHeight="1">
      <c r="A399" s="55">
        <v>398</v>
      </c>
      <c r="B399" s="55" t="s">
        <v>687</v>
      </c>
      <c r="C399" s="56" t="s">
        <v>1075</v>
      </c>
      <c r="D399" s="56" t="s">
        <v>1076</v>
      </c>
      <c r="E399" s="56" t="s">
        <v>655</v>
      </c>
      <c r="F399" s="56" t="s">
        <v>690</v>
      </c>
      <c r="G399" s="56" t="s">
        <v>118</v>
      </c>
    </row>
    <row r="400" spans="1:7" ht="36.75" customHeight="1">
      <c r="A400" s="55">
        <v>399</v>
      </c>
      <c r="B400" s="55" t="s">
        <v>687</v>
      </c>
      <c r="C400" s="56" t="s">
        <v>1077</v>
      </c>
      <c r="D400" s="56" t="s">
        <v>1060</v>
      </c>
      <c r="E400" s="56" t="s">
        <v>658</v>
      </c>
      <c r="F400" s="56" t="s">
        <v>690</v>
      </c>
      <c r="G400" s="56" t="s">
        <v>118</v>
      </c>
    </row>
    <row r="401" spans="1:7" ht="36.75" customHeight="1">
      <c r="A401" s="55">
        <v>400</v>
      </c>
      <c r="B401" s="55" t="s">
        <v>687</v>
      </c>
      <c r="C401" s="56" t="s">
        <v>1078</v>
      </c>
      <c r="D401" s="56" t="s">
        <v>1052</v>
      </c>
      <c r="E401" s="56" t="s">
        <v>661</v>
      </c>
      <c r="F401" s="56" t="s">
        <v>690</v>
      </c>
      <c r="G401" s="56" t="s">
        <v>118</v>
      </c>
    </row>
    <row r="402" spans="1:7" ht="36.75" customHeight="1">
      <c r="A402" s="55">
        <v>401</v>
      </c>
      <c r="B402" s="55" t="s">
        <v>687</v>
      </c>
      <c r="C402" s="56" t="s">
        <v>1079</v>
      </c>
      <c r="D402" s="56" t="s">
        <v>1080</v>
      </c>
      <c r="E402" s="56" t="s">
        <v>664</v>
      </c>
      <c r="F402" s="56" t="s">
        <v>690</v>
      </c>
      <c r="G402" s="56" t="s">
        <v>118</v>
      </c>
    </row>
    <row r="403" spans="1:7" ht="36.75" customHeight="1">
      <c r="A403" s="55">
        <v>402</v>
      </c>
      <c r="B403" s="55" t="s">
        <v>687</v>
      </c>
      <c r="C403" s="56" t="s">
        <v>1081</v>
      </c>
      <c r="D403" s="56" t="s">
        <v>1080</v>
      </c>
      <c r="E403" s="56" t="s">
        <v>667</v>
      </c>
      <c r="F403" s="56" t="s">
        <v>690</v>
      </c>
      <c r="G403" s="56" t="s">
        <v>118</v>
      </c>
    </row>
    <row r="404" spans="1:7" ht="36.75" customHeight="1">
      <c r="A404" s="55">
        <v>403</v>
      </c>
      <c r="B404" s="55" t="s">
        <v>687</v>
      </c>
      <c r="C404" s="56" t="s">
        <v>1082</v>
      </c>
      <c r="D404" s="56" t="s">
        <v>1060</v>
      </c>
      <c r="E404" s="56" t="s">
        <v>671</v>
      </c>
      <c r="F404" s="56" t="s">
        <v>690</v>
      </c>
      <c r="G404" s="56" t="s">
        <v>118</v>
      </c>
    </row>
    <row r="405" spans="1:7" ht="36.75" customHeight="1">
      <c r="A405" s="55">
        <v>404</v>
      </c>
      <c r="B405" s="55" t="s">
        <v>687</v>
      </c>
      <c r="C405" s="56" t="s">
        <v>1083</v>
      </c>
      <c r="D405" s="56" t="s">
        <v>1076</v>
      </c>
      <c r="E405" s="56" t="s">
        <v>674</v>
      </c>
      <c r="F405" s="56" t="s">
        <v>690</v>
      </c>
      <c r="G405" s="56" t="s">
        <v>118</v>
      </c>
    </row>
    <row r="406" spans="1:7" ht="36.75" customHeight="1">
      <c r="A406" s="55">
        <v>405</v>
      </c>
      <c r="B406" s="55" t="s">
        <v>687</v>
      </c>
      <c r="C406" s="56" t="s">
        <v>1084</v>
      </c>
      <c r="D406" s="56" t="s">
        <v>1052</v>
      </c>
      <c r="E406" s="56" t="s">
        <v>677</v>
      </c>
      <c r="F406" s="56" t="s">
        <v>690</v>
      </c>
      <c r="G406" s="56" t="s">
        <v>118</v>
      </c>
    </row>
    <row r="407" spans="1:7" ht="36.75" customHeight="1">
      <c r="A407" s="55">
        <v>406</v>
      </c>
      <c r="B407" s="55" t="s">
        <v>687</v>
      </c>
      <c r="C407" s="56" t="s">
        <v>1085</v>
      </c>
      <c r="D407" s="56" t="s">
        <v>1086</v>
      </c>
      <c r="E407" s="56" t="s">
        <v>680</v>
      </c>
      <c r="F407" s="56" t="s">
        <v>690</v>
      </c>
      <c r="G407" s="56" t="s">
        <v>118</v>
      </c>
    </row>
    <row r="408" spans="1:7" ht="36.75" customHeight="1">
      <c r="A408" s="55">
        <v>407</v>
      </c>
      <c r="B408" s="55" t="s">
        <v>687</v>
      </c>
      <c r="C408" s="56" t="s">
        <v>1087</v>
      </c>
      <c r="D408" s="56" t="s">
        <v>1052</v>
      </c>
      <c r="E408" s="56" t="s">
        <v>844</v>
      </c>
      <c r="F408" s="56" t="s">
        <v>690</v>
      </c>
      <c r="G408" s="56" t="s">
        <v>118</v>
      </c>
    </row>
  </sheetData>
  <autoFilter ref="A1:G408" xr:uid="{0C247153-E00F-4205-8841-82B4023F38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Resources</vt:lpstr>
      <vt:lpstr>Player Stats</vt:lpstr>
      <vt:lpstr>Settlements</vt:lpstr>
      <vt:lpstr>SettlementShops</vt:lpstr>
      <vt:lpstr>Transport</vt:lpstr>
      <vt:lpstr>Transport Upgrades</vt:lpstr>
      <vt:lpstr>Terrains</vt:lpstr>
      <vt:lpstr>Biomes</vt:lpstr>
      <vt:lpstr>WeatherSystem</vt:lpstr>
      <vt:lpstr>GAME_PARAMETERS</vt:lpstr>
      <vt:lpstr>Situations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Marius Luchian</dc:creator>
  <cp:keywords/>
  <dc:description/>
  <cp:lastModifiedBy>Marius Luchian</cp:lastModifiedBy>
  <cp:revision/>
  <dcterms:created xsi:type="dcterms:W3CDTF">2026-08-31T21:04:00Z</dcterms:created>
  <dcterms:modified xsi:type="dcterms:W3CDTF">2026-09-12T13:01:14Z</dcterms:modified>
  <cp:category/>
  <cp:contentStatus/>
</cp:coreProperties>
</file>